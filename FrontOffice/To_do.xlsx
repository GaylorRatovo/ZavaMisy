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e des taches" sheetId="1" state="visible" r:id="rId3"/>
    <sheet name="Somme estimation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<sst xmlns="http://schemas.openxmlformats.org/spreadsheetml/2006/main" count="99" uniqueCount="45">
  <si>
    <t xml:space="preserve">Ligne</t>
  </si>
  <si>
    <t xml:space="preserve">Catégorie</t>
  </si>
  <si>
    <t xml:space="preserve">Module</t>
  </si>
  <si>
    <t xml:space="preserve">Taches</t>
  </si>
  <si>
    <t xml:space="preserve">Pages</t>
  </si>
  <si>
    <t xml:space="preserve">Type</t>
  </si>
  <si>
    <t xml:space="preserve">Qui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</si>
  <si>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</si>
  <si>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</si>
  <si>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</si>
  <si>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</si>
  <si>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Accueil</t>
  </si>
  <si>
    <t xml:space="preserve">Front-office</t>
  </si>
  <si>
    <t xml:space="preserve">Creation d’une page index.php comme accuiel</t>
  </si>
  <si>
    <t xml:space="preserve">index.php</t>
  </si>
  <si>
    <t xml:space="preserve">Affichage</t>
  </si>
  <si>
    <t xml:space="preserve">ETU003361</t>
  </si>
  <si>
    <t xml:space="preserve">Liste articles</t>
  </si>
  <si>
    <t xml:space="preserve">Recuperer liste article(avec categories)</t>
  </si>
  <si>
    <t xml:space="preserve">function.php/api.php</t>
  </si>
  <si>
    <t xml:space="preserve">Metier</t>
  </si>
  <si>
    <t xml:space="preserve">Article</t>
  </si>
  <si>
    <t xml:space="preserve">Recuperer un article</t>
  </si>
  <si>
    <t xml:space="preserve">Afficher la liste des articles</t>
  </si>
  <si>
    <t xml:space="preserve">articles.php</t>
  </si>
  <si>
    <t xml:space="preserve">Afficher l'article</t>
  </si>
  <si>
    <t xml:space="preserve">article.php</t>
  </si>
  <si>
    <t xml:space="preserve">Integration</t>
  </si>
  <si>
    <t xml:space="preserve">SEO (liste articles)</t>
  </si>
  <si>
    <t xml:space="preserve">Amelioration SEO avec implementation des meta , titres et url rewriting</t>
  </si>
  <si>
    <t xml:space="preserve">(.htaccess)/articles.php</t>
  </si>
  <si>
    <t xml:space="preserve">SEO (larticle)</t>
  </si>
  <si>
    <t xml:space="preserve">(.htaccess)/article.php</t>
  </si>
  <si>
    <t xml:space="preserve">Optimisation</t>
  </si>
  <si>
    <t xml:space="preserve">Optimisation du site : bundle.js, minimification css et js</t>
  </si>
  <si>
    <t xml:space="preserve">(.htaccess)</t>
  </si>
  <si>
    <t xml:space="preserve">Optimisation du site : activation gzip et cache du navigateur</t>
  </si>
  <si>
    <t xml:space="preserve">Test</t>
  </si>
  <si>
    <t xml:space="preserve">Effectuer un test complet :afficher liste des articles,afficher article,tester les images,tester URL seo</t>
  </si>
  <si>
    <t xml:space="preserve">Toutes</t>
  </si>
  <si>
    <t xml:space="preserve">Effectuer l’evaluation sur lighthouse google</t>
  </si>
  <si>
    <t xml:space="preserve">Correction</t>
  </si>
  <si>
    <t xml:space="preserve">Application des amelioration proposé par lighthouse google</t>
  </si>
  <si>
    <t xml:space="preserve">Somme - Estimation</t>
  </si>
  <si>
    <t xml:space="preserve">Total Résultat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</si>
</sst>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1"/>
      <color theme="1"/>
      <name val="Times New Roman"/>
      <family val="0"/>
      <charset val="134"/>
    </font>
    <font>
      <sz val="10"/>
      <color theme="1"/>
      <name val="Arial"/>
      <family val="0"/>
      <charset val="134"/>
    </font>
    <font>
      <sz val="10"/>
      <color theme="1"/>
      <name val="Times New Roman"/>
      <family val="0"/>
      <charset val="134"/>
    </font>
    <font>
      <b val="true"/>
      <sz val="10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dxfs count="3">
    <dxf>
      <fill>
        <patternFill patternType="solid">
          <fgColor rgb="FFC9DA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4" createdVersion="3">
  <cacheSource type="worksheet">
    <worksheetSource ref="A1:K15" sheet="Liste des taches"/>
  </cacheSource>
  <cacheFields count="11">
    <cacheField name="Ligne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Catégorie" numFmtId="0">
      <sharedItems count="8">
        <s v="Accueil"/>
        <s v="Article"/>
        <s v="Correction"/>
        <s v="Liste articles"/>
        <s v="Optimisation"/>
        <s v="SEO (larticle)"/>
        <s v="SEO (liste articles)"/>
        <s v="Test"/>
      </sharedItems>
    </cacheField>
    <cacheField name="Module" numFmtId="0">
      <sharedItems count="1">
        <s v="Front-office"/>
      </sharedItems>
    </cacheField>
    <cacheField name="Taches" numFmtId="0">
      <sharedItems count="11">
        <s v="Afficher l'article"/>
        <s v="Afficher la liste des articles"/>
        <s v="Amelioration SEO avec implementation des meta , titres et url rewriting"/>
        <s v="Application des amelioration proposé par lighthouse google"/>
        <s v="Creation d’une page index.php comme accuiel"/>
        <s v="Effectuer l’evaluation sur lighthouse google"/>
        <s v="Effectuer un test complet :afficher liste des articles,afficher article,tester les images,tester URL seo"/>
        <s v="Optimisation du site : activation gzip et cache du navigateur"/>
        <s v="Optimisation du site : bundle.js, minimification css et js"/>
        <s v="Recuperer liste article(avec categories)"/>
        <s v="Recuperer un article"/>
      </sharedItems>
    </cacheField>
    <cacheField name="Pages" numFmtId="0">
      <sharedItems count="8">
        <s v="(.htaccess)"/>
        <s v="(.htaccess)/article.php"/>
        <s v="(.htaccess)/articles.php"/>
        <s v="article.php"/>
        <s v="articles.php"/>
        <s v="function.php/api.php"/>
        <s v="index.php"/>
        <s v="Toutes"/>
      </sharedItems>
    </cacheField>
    <cacheField name="Type" numFmtId="0">
      <sharedItems count="5">
        <s v="Affichage"/>
        <s v="Integration"/>
        <s v="Metier"/>
        <s v="Optimisation"/>
        <s v="Test"/>
      </sharedItems>
    </cacheField>
    <cacheField name="Qui" numFmtId="0">
      <sharedItems count="1">
        <s v="ETU003361"/>
      </sharedItems>
    </cacheField>
    <cacheField name="Estimation" numFmtId="0">
      <sharedItems containsSemiMixedTypes="0" containsString="0" containsNumber="1" containsInteger="1" minValue="15" maxValue="30" count="3">
        <n v="15"/>
        <n v="20"/>
        <n v="30"/>
      </sharedItems>
    </cacheField>
    <cacheField name="Temps passé" numFmtId="0">
      <sharedItems containsSemiMixedTypes="0" containsString="0" containsNumber="1" containsInteger="1" minValue="10" maxValue="30" count="4">
        <n v="10"/>
        <n v="15"/>
        <n v="20"/>
        <n v="30"/>
      </sharedItems>
    </cacheField>
    <cacheField name="Reste à faire" numFmtId="0">
      <sharedItems containsSemiMixedTypes="0" containsString="0" containsNumber="1" containsInteger="1" minValue="0" maxValue="5" count="2">
        <n v="0"/>
        <n v="5"/>
      </sharedItems>
    </cacheField>
    <cacheField name="Avancement" numFmtId="0">
      <sharedItems containsSemiMixedTypes="0" containsString="0" containsNumber="1" minValue="0.666666666666667" maxValue="1" count="2">
        <n v="0.666666666666667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x v="0"/>
    <x v="4"/>
    <x v="6"/>
    <x v="0"/>
    <x v="0"/>
    <x v="0"/>
    <x v="1"/>
    <x v="0"/>
    <x v="1"/>
  </r>
  <r>
    <x v="1"/>
    <x v="3"/>
    <x v="0"/>
    <x v="9"/>
    <x v="5"/>
    <x v="2"/>
    <x v="0"/>
    <x v="0"/>
    <x v="1"/>
    <x v="0"/>
    <x v="1"/>
  </r>
  <r>
    <x v="2"/>
    <x v="1"/>
    <x v="0"/>
    <x v="10"/>
    <x v="5"/>
    <x v="2"/>
    <x v="0"/>
    <x v="0"/>
    <x v="1"/>
    <x v="0"/>
    <x v="1"/>
  </r>
  <r>
    <x v="3"/>
    <x v="3"/>
    <x v="0"/>
    <x v="1"/>
    <x v="4"/>
    <x v="0"/>
    <x v="0"/>
    <x v="0"/>
    <x v="1"/>
    <x v="0"/>
    <x v="1"/>
  </r>
  <r>
    <x v="4"/>
    <x v="1"/>
    <x v="0"/>
    <x v="0"/>
    <x v="3"/>
    <x v="0"/>
    <x v="0"/>
    <x v="1"/>
    <x v="2"/>
    <x v="0"/>
    <x v="1"/>
  </r>
  <r>
    <x v="5"/>
    <x v="3"/>
    <x v="0"/>
    <x v="1"/>
    <x v="4"/>
    <x v="1"/>
    <x v="0"/>
    <x v="0"/>
    <x v="1"/>
    <x v="0"/>
    <x v="1"/>
  </r>
  <r>
    <x v="6"/>
    <x v="1"/>
    <x v="0"/>
    <x v="0"/>
    <x v="3"/>
    <x v="1"/>
    <x v="0"/>
    <x v="1"/>
    <x v="2"/>
    <x v="0"/>
    <x v="1"/>
  </r>
  <r>
    <x v="7"/>
    <x v="6"/>
    <x v="0"/>
    <x v="2"/>
    <x v="2"/>
    <x v="1"/>
    <x v="0"/>
    <x v="1"/>
    <x v="2"/>
    <x v="0"/>
    <x v="1"/>
  </r>
  <r>
    <x v="8"/>
    <x v="5"/>
    <x v="0"/>
    <x v="2"/>
    <x v="1"/>
    <x v="1"/>
    <x v="0"/>
    <x v="1"/>
    <x v="2"/>
    <x v="0"/>
    <x v="1"/>
  </r>
  <r>
    <x v="9"/>
    <x v="4"/>
    <x v="0"/>
    <x v="8"/>
    <x v="0"/>
    <x v="3"/>
    <x v="0"/>
    <x v="0"/>
    <x v="0"/>
    <x v="1"/>
    <x v="0"/>
  </r>
  <r>
    <x v="10"/>
    <x v="4"/>
    <x v="0"/>
    <x v="7"/>
    <x v="0"/>
    <x v="3"/>
    <x v="0"/>
    <x v="0"/>
    <x v="1"/>
    <x v="0"/>
    <x v="1"/>
  </r>
  <r>
    <x v="11"/>
    <x v="7"/>
    <x v="0"/>
    <x v="6"/>
    <x v="7"/>
    <x v="4"/>
    <x v="0"/>
    <x v="1"/>
    <x v="2"/>
    <x v="0"/>
    <x v="1"/>
  </r>
  <r>
    <x v="12"/>
    <x v="7"/>
    <x v="0"/>
    <x v="5"/>
    <x v="7"/>
    <x v="4"/>
    <x v="0"/>
    <x v="0"/>
    <x v="1"/>
    <x v="0"/>
    <x v="1"/>
  </r>
  <r>
    <x v="13"/>
    <x v="2"/>
    <x v="0"/>
    <x v="3"/>
    <x v="7"/>
    <x v="3"/>
    <x v="0"/>
    <x v="2"/>
    <x v="3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3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">
        <item x="0"/>
      </items>
    </pivotField>
    <pivotField dataField="1" compact="0" showAll="0" outline="0"/>
    <pivotField compact="0" showAll="0"/>
    <pivotField compact="0" showAll="0"/>
    <pivotField compact="0" showAll="0"/>
  </pivotFields>
  <rowFields count="1">
    <field x="6"/>
  </rowFields>
  <rowItems count="2">
    <i>
      <x v="0"/>
    </i>
    <i t="grand">
      <x v="1"/>
    </i>
  </rowItems>
  <colItems count="1">
    <i t="grand">
      <x v="0"/>
    </i>
  </colItems>
  <dataFields count="1">
    <dataField name="Somme - Estimation" fld="7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26.5"/>
    <col collapsed="false" customWidth="true" hidden="false" outlineLevel="0" max="3" min="3" style="1" width="11.53"/>
    <col collapsed="false" customWidth="true" hidden="false" outlineLevel="0" max="4" min="4" style="1" width="75.18"/>
    <col collapsed="false" customWidth="true" hidden="false" outlineLevel="0" max="5" min="5" style="1" width="19.58"/>
    <col collapsed="false" customWidth="true" hidden="false" outlineLevel="0" max="6" min="6" style="1" width="16.67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.75" hidden="false" customHeight="true" outlineLevel="0" collapsed="false">
      <c r="A2" s="4" t="n">
        <v>1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5" t="s">
        <v>16</v>
      </c>
      <c r="H2" s="4" t="n">
        <v>15</v>
      </c>
      <c r="I2" s="4" t="n">
        <v>15</v>
      </c>
      <c r="J2" s="4" t="n">
        <f aca="false">H2-I2</f>
        <v>0</v>
      </c>
      <c r="K2" s="7" t="n">
        <f aca="false">I2/(I2+J2)</f>
        <v>1</v>
      </c>
    </row>
    <row r="3" customFormat="false" ht="15.75" hidden="false" customHeight="true" outlineLevel="0" collapsed="false">
      <c r="A3" s="4" t="n">
        <v>2</v>
      </c>
      <c r="B3" s="5" t="s">
        <v>17</v>
      </c>
      <c r="C3" s="6" t="s">
        <v>12</v>
      </c>
      <c r="D3" s="6" t="s">
        <v>18</v>
      </c>
      <c r="E3" s="5" t="s">
        <v>19</v>
      </c>
      <c r="F3" s="6" t="s">
        <v>20</v>
      </c>
      <c r="G3" s="5" t="s">
        <v>16</v>
      </c>
      <c r="H3" s="4" t="n">
        <v>15</v>
      </c>
      <c r="I3" s="4" t="n">
        <v>15</v>
      </c>
      <c r="J3" s="4" t="n">
        <f aca="false">H3-I3</f>
        <v>0</v>
      </c>
      <c r="K3" s="7" t="n">
        <f aca="false">I3/(I3+J3)</f>
        <v>1</v>
      </c>
    </row>
    <row r="4" customFormat="false" ht="15.75" hidden="false" customHeight="true" outlineLevel="0" collapsed="false">
      <c r="A4" s="4" t="n">
        <v>3</v>
      </c>
      <c r="B4" s="5" t="s">
        <v>21</v>
      </c>
      <c r="C4" s="6" t="s">
        <v>12</v>
      </c>
      <c r="D4" s="6" t="s">
        <v>22</v>
      </c>
      <c r="E4" s="5" t="s">
        <v>19</v>
      </c>
      <c r="F4" s="6" t="s">
        <v>20</v>
      </c>
      <c r="G4" s="5" t="s">
        <v>16</v>
      </c>
      <c r="H4" s="4" t="n">
        <v>15</v>
      </c>
      <c r="I4" s="4" t="n">
        <v>15</v>
      </c>
      <c r="J4" s="4" t="n">
        <f aca="false">H4-I4</f>
        <v>0</v>
      </c>
      <c r="K4" s="7" t="n">
        <f aca="false">I4/(I4+J4)</f>
        <v>1</v>
      </c>
    </row>
    <row r="5" customFormat="false" ht="15.75" hidden="false" customHeight="true" outlineLevel="0" collapsed="false">
      <c r="A5" s="4" t="n">
        <v>4</v>
      </c>
      <c r="B5" s="5" t="s">
        <v>17</v>
      </c>
      <c r="C5" s="6" t="s">
        <v>12</v>
      </c>
      <c r="D5" s="6" t="s">
        <v>23</v>
      </c>
      <c r="E5" s="5" t="s">
        <v>24</v>
      </c>
      <c r="F5" s="6" t="s">
        <v>15</v>
      </c>
      <c r="G5" s="5" t="s">
        <v>16</v>
      </c>
      <c r="H5" s="4" t="n">
        <v>15</v>
      </c>
      <c r="I5" s="4" t="n">
        <v>15</v>
      </c>
      <c r="J5" s="4" t="n">
        <f aca="false">H5-I5</f>
        <v>0</v>
      </c>
      <c r="K5" s="7" t="n">
        <f aca="false">I5/(I5+J5)</f>
        <v>1</v>
      </c>
    </row>
    <row r="6" customFormat="false" ht="15.75" hidden="false" customHeight="true" outlineLevel="0" collapsed="false">
      <c r="A6" s="4" t="n">
        <v>5</v>
      </c>
      <c r="B6" s="5" t="s">
        <v>21</v>
      </c>
      <c r="C6" s="6" t="s">
        <v>12</v>
      </c>
      <c r="D6" s="6" t="s">
        <v>25</v>
      </c>
      <c r="E6" s="5" t="s">
        <v>26</v>
      </c>
      <c r="F6" s="6" t="s">
        <v>15</v>
      </c>
      <c r="G6" s="5" t="s">
        <v>16</v>
      </c>
      <c r="H6" s="4" t="n">
        <v>20</v>
      </c>
      <c r="I6" s="4" t="n">
        <v>20</v>
      </c>
      <c r="J6" s="4" t="n">
        <f aca="false">H6-I6</f>
        <v>0</v>
      </c>
      <c r="K6" s="7" t="n">
        <f aca="false">I6/(I6+J6)</f>
        <v>1</v>
      </c>
    </row>
    <row r="7" customFormat="false" ht="15.75" hidden="false" customHeight="true" outlineLevel="0" collapsed="false">
      <c r="A7" s="4" t="n">
        <v>6</v>
      </c>
      <c r="B7" s="5" t="s">
        <v>17</v>
      </c>
      <c r="C7" s="6" t="s">
        <v>12</v>
      </c>
      <c r="D7" s="6" t="s">
        <v>23</v>
      </c>
      <c r="E7" s="5" t="s">
        <v>24</v>
      </c>
      <c r="F7" s="6" t="s">
        <v>27</v>
      </c>
      <c r="G7" s="5" t="s">
        <v>16</v>
      </c>
      <c r="H7" s="4" t="n">
        <v>15</v>
      </c>
      <c r="I7" s="4" t="n">
        <v>15</v>
      </c>
      <c r="J7" s="4" t="n">
        <f aca="false">H7-I7</f>
        <v>0</v>
      </c>
      <c r="K7" s="7" t="n">
        <f aca="false">I7/(I7+J7)</f>
        <v>1</v>
      </c>
    </row>
    <row r="8" customFormat="false" ht="15.75" hidden="false" customHeight="true" outlineLevel="0" collapsed="false">
      <c r="A8" s="4" t="n">
        <v>7</v>
      </c>
      <c r="B8" s="5" t="s">
        <v>21</v>
      </c>
      <c r="C8" s="6" t="s">
        <v>12</v>
      </c>
      <c r="D8" s="6" t="s">
        <v>25</v>
      </c>
      <c r="E8" s="5" t="s">
        <v>26</v>
      </c>
      <c r="F8" s="6" t="s">
        <v>27</v>
      </c>
      <c r="G8" s="5" t="s">
        <v>16</v>
      </c>
      <c r="H8" s="4" t="n">
        <v>20</v>
      </c>
      <c r="I8" s="4" t="n">
        <v>20</v>
      </c>
      <c r="J8" s="4" t="n">
        <f aca="false">H8-I8</f>
        <v>0</v>
      </c>
      <c r="K8" s="7" t="n">
        <f aca="false">I8/(I8+J8)</f>
        <v>1</v>
      </c>
    </row>
    <row r="9" customFormat="false" ht="15.75" hidden="false" customHeight="true" outlineLevel="0" collapsed="false">
      <c r="A9" s="4" t="n">
        <v>8</v>
      </c>
      <c r="B9" s="5" t="s">
        <v>28</v>
      </c>
      <c r="C9" s="6" t="s">
        <v>12</v>
      </c>
      <c r="D9" s="6" t="s">
        <v>29</v>
      </c>
      <c r="E9" s="5" t="s">
        <v>30</v>
      </c>
      <c r="F9" s="6" t="s">
        <v>27</v>
      </c>
      <c r="G9" s="5" t="s">
        <v>16</v>
      </c>
      <c r="H9" s="4" t="n">
        <v>20</v>
      </c>
      <c r="I9" s="4" t="n">
        <v>20</v>
      </c>
      <c r="J9" s="4" t="n">
        <f aca="false">H9-I9</f>
        <v>0</v>
      </c>
      <c r="K9" s="7" t="n">
        <f aca="false">I9/(I9+J9)</f>
        <v>1</v>
      </c>
    </row>
    <row r="10" customFormat="false" ht="15.75" hidden="false" customHeight="true" outlineLevel="0" collapsed="false">
      <c r="A10" s="4" t="n">
        <v>9</v>
      </c>
      <c r="B10" s="5" t="s">
        <v>31</v>
      </c>
      <c r="C10" s="6" t="s">
        <v>12</v>
      </c>
      <c r="D10" s="6" t="s">
        <v>29</v>
      </c>
      <c r="E10" s="5" t="s">
        <v>32</v>
      </c>
      <c r="F10" s="6" t="s">
        <v>27</v>
      </c>
      <c r="G10" s="5" t="s">
        <v>16</v>
      </c>
      <c r="H10" s="4" t="n">
        <v>20</v>
      </c>
      <c r="I10" s="4" t="n">
        <v>20</v>
      </c>
      <c r="J10" s="4" t="n">
        <f aca="false">H10-I10</f>
        <v>0</v>
      </c>
      <c r="K10" s="7" t="n">
        <f aca="false">I10/(I10+J10)</f>
        <v>1</v>
      </c>
    </row>
    <row r="11" customFormat="false" ht="15.75" hidden="false" customHeight="true" outlineLevel="0" collapsed="false">
      <c r="A11" s="4" t="n">
        <v>10</v>
      </c>
      <c r="B11" s="5" t="s">
        <v>33</v>
      </c>
      <c r="C11" s="6" t="s">
        <v>12</v>
      </c>
      <c r="D11" s="6" t="s">
        <v>34</v>
      </c>
      <c r="E11" s="5" t="s">
        <v>35</v>
      </c>
      <c r="F11" s="6" t="s">
        <v>33</v>
      </c>
      <c r="G11" s="5" t="s">
        <v>16</v>
      </c>
      <c r="H11" s="4" t="n">
        <v>15</v>
      </c>
      <c r="I11" s="4" t="n">
        <v>10</v>
      </c>
      <c r="J11" s="4" t="n">
        <f aca="false">H11-I11</f>
        <v>5</v>
      </c>
      <c r="K11" s="7" t="n">
        <f aca="false">I11/(I11+J11)</f>
        <v>0.666666666666667</v>
      </c>
    </row>
    <row r="12" customFormat="false" ht="15.75" hidden="false" customHeight="true" outlineLevel="0" collapsed="false">
      <c r="A12" s="4" t="n">
        <v>11</v>
      </c>
      <c r="B12" s="5" t="s">
        <v>33</v>
      </c>
      <c r="C12" s="6" t="s">
        <v>12</v>
      </c>
      <c r="D12" s="6" t="s">
        <v>36</v>
      </c>
      <c r="E12" s="5" t="s">
        <v>35</v>
      </c>
      <c r="F12" s="6" t="s">
        <v>33</v>
      </c>
      <c r="G12" s="5" t="s">
        <v>16</v>
      </c>
      <c r="H12" s="4" t="n">
        <v>15</v>
      </c>
      <c r="I12" s="4" t="n">
        <v>15</v>
      </c>
      <c r="J12" s="4" t="n">
        <f aca="false">H12-I12</f>
        <v>0</v>
      </c>
      <c r="K12" s="7" t="n">
        <f aca="false">I12/(I12+J12)</f>
        <v>1</v>
      </c>
    </row>
    <row r="13" customFormat="false" ht="15.75" hidden="false" customHeight="true" outlineLevel="0" collapsed="false">
      <c r="A13" s="4" t="n">
        <v>12</v>
      </c>
      <c r="B13" s="5" t="s">
        <v>37</v>
      </c>
      <c r="C13" s="6" t="s">
        <v>12</v>
      </c>
      <c r="D13" s="6" t="s">
        <v>38</v>
      </c>
      <c r="E13" s="5" t="s">
        <v>39</v>
      </c>
      <c r="F13" s="6" t="s">
        <v>37</v>
      </c>
      <c r="G13" s="5" t="s">
        <v>16</v>
      </c>
      <c r="H13" s="4" t="n">
        <v>20</v>
      </c>
      <c r="I13" s="4" t="n">
        <v>20</v>
      </c>
      <c r="J13" s="4" t="n">
        <f aca="false">H13-I13</f>
        <v>0</v>
      </c>
      <c r="K13" s="7" t="n">
        <f aca="false">I13/(I13+J13)</f>
        <v>1</v>
      </c>
    </row>
    <row r="14" customFormat="false" ht="15.75" hidden="false" customHeight="true" outlineLevel="0" collapsed="false">
      <c r="A14" s="4" t="n">
        <v>13</v>
      </c>
      <c r="B14" s="5" t="s">
        <v>37</v>
      </c>
      <c r="C14" s="6" t="s">
        <v>12</v>
      </c>
      <c r="D14" s="6" t="s">
        <v>40</v>
      </c>
      <c r="E14" s="5" t="s">
        <v>39</v>
      </c>
      <c r="F14" s="6" t="s">
        <v>37</v>
      </c>
      <c r="G14" s="5" t="s">
        <v>16</v>
      </c>
      <c r="H14" s="4" t="n">
        <v>15</v>
      </c>
      <c r="I14" s="4" t="n">
        <v>15</v>
      </c>
      <c r="J14" s="4" t="n">
        <f aca="false">H14-I14</f>
        <v>0</v>
      </c>
      <c r="K14" s="7" t="n">
        <f aca="false">I14/(I14+J14)</f>
        <v>1</v>
      </c>
    </row>
    <row r="15" customFormat="false" ht="15.75" hidden="false" customHeight="true" outlineLevel="0" collapsed="false">
      <c r="A15" s="4" t="n">
        <v>14</v>
      </c>
      <c r="B15" s="5" t="s">
        <v>41</v>
      </c>
      <c r="C15" s="6" t="s">
        <v>12</v>
      </c>
      <c r="D15" s="6" t="s">
        <v>42</v>
      </c>
      <c r="E15" s="5" t="s">
        <v>39</v>
      </c>
      <c r="F15" s="6" t="s">
        <v>33</v>
      </c>
      <c r="G15" s="5" t="s">
        <v>16</v>
      </c>
      <c r="H15" s="4" t="n">
        <v>30</v>
      </c>
      <c r="I15" s="4" t="n">
        <v>30</v>
      </c>
      <c r="J15" s="4" t="n">
        <f aca="false">H15-I15</f>
        <v>0</v>
      </c>
      <c r="K15" s="7" t="n">
        <f aca="false">I15/(I15+J15)</f>
        <v>1</v>
      </c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48"/>
    <col collapsed="false" customWidth="true" hidden="false" outlineLevel="0" max="2" min="2" style="0" width="17.85"/>
  </cols>
  <sheetData>
    <row r="1" customFormat="false" ht="12.8" hidden="false" customHeight="false" outlineLevel="0" collapsed="false">
      <c r="A1" s="8" t="s">
        <v>6</v>
      </c>
      <c r="B1" s="9" t="s">
        <v>43</v>
      </c>
    </row>
    <row r="2" customFormat="false" ht="12.8" hidden="false" customHeight="false" outlineLevel="0" collapsed="false">
      <c r="A2" s="10" t="s">
        <v>16</v>
      </c>
      <c r="B2" s="11" t="n">
        <v>250</v>
      </c>
    </row>
    <row r="3" customFormat="false" ht="12.8" hidden="false" customHeight="false" outlineLevel="0" collapsed="false">
      <c r="A3" s="12" t="s">
        <v>44</v>
      </c>
      <c r="B3" s="13" t="n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2026-02-10T08:54:00Z</dcterms:created>
  <dc:creator/>
  <dc:description/>
  <dc:language>en-US</dc:language>
  <cp:lastModifiedBy/>
  <dcterms:modified xsi:type="dcterms:W3CDTF">2026-03-31T11:59:51Z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C138FFA014CC40B6B82A597F87CA1A7D_12</vt:lpwstr>
  </property>
  <property fmtid="{D5CDD505-2E9C-101B-9397-08002B2CF9AE}" pid="3" name="KSOProductBuildVer">
    <vt:lpwstr>1036-12.9.0.21549</vt:lpwstr>
  </property>
</Properties>
</file>