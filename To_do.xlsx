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e des taches" sheetId="1" state="visible" r:id="rId3"/>
    <sheet name="Table dynamique_Liste des tache" sheetId="2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<sst xmlns="http://schemas.openxmlformats.org/spreadsheetml/2006/main" count="288" uniqueCount="108">
  <si>
    <t xml:space="preserve">Ligne</t>
  </si>
  <si>
    <t xml:space="preserve">Catégorie</t>
  </si>
  <si>
    <t xml:space="preserve">Module</t>
  </si>
  <si>
    <t xml:space="preserve">Taches</t>
  </si>
  <si>
    <t xml:space="preserve">Pages</t>
  </si>
  <si>
    <t xml:space="preserve">Type</t>
  </si>
  <si>
    <t xml:space="preserve">Qui</t>
  </si>
  <si>
    <t xml:space="preserve">Estimation</t>
  </si>
  <si>
    <t xml:space="preserve">Temps passé</t>
  </si>
  <si>
    <t xml:space="preserve">Reste à faire</t>
  </si>
  <si>
    <t xml:space="preserve">Avancement</t>
  </si>
  <si>
    <t xml:space="preserve">Accueil</t>
  </si>
  <si>
    <t xml:space="preserve">Front-office</t>
  </si>
  <si>
    <t xml:space="preserve">Creation d’une page index.php comme accuiel</t>
  </si>
  <si>
    <t xml:space="preserve">index.php</t>
  </si>
  <si>
    <t xml:space="preserve">Affichage</t>
  </si>
  <si>
    <t xml:space="preserve">ETU003361</t>
  </si>
  <si>
    <t xml:space="preserve">Liste articles</t>
  </si>
  <si>
    <t xml:space="preserve">Recuperer liste article(avec categories)</t>
  </si>
  <si>
    <t xml:space="preserve">function.php/api.php</t>
  </si>
  <si>
    <t xml:space="preserve">Metier</t>
  </si>
  <si>
    <t xml:space="preserve">Article</t>
  </si>
  <si>
    <t xml:space="preserve">Recuperer un article</t>
  </si>
  <si>
    <t xml:space="preserve">Afficher la liste des articles</t>
  </si>
  <si>
    <t xml:space="preserve">articles.php</t>
  </si>
  <si>
    <t xml:space="preserve">Afficher l'article</t>
  </si>
  <si>
    <t xml:space="preserve">article.php</t>
  </si>
  <si>
    <t xml:space="preserve">Integration</t>
  </si>
  <si>
    <t xml:space="preserve">SEO (liste articles)</t>
  </si>
  <si>
    <t xml:space="preserve">Amelioration SEO avec implementation des meta , titres et url rewriting</t>
  </si>
  <si>
    <t xml:space="preserve">(.htaccess)/articles.php</t>
  </si>
  <si>
    <t xml:space="preserve">SEO (larticle)</t>
  </si>
  <si>
    <t xml:space="preserve">(.htaccess)/article.php</t>
  </si>
  <si>
    <t xml:space="preserve">Optimisation</t>
  </si>
  <si>
    <t xml:space="preserve">Optimisation du site : bundle.js, minimification css et js</t>
  </si>
  <si>
    <t xml:space="preserve">(.htaccess)</t>
  </si>
  <si>
    <t xml:space="preserve">Optimisation du site : activation gzip et cache du navigateur</t>
  </si>
  <si>
    <t xml:space="preserve">Test</t>
  </si>
  <si>
    <t xml:space="preserve">Effectuer un test complet :afficher liste des articles,afficher article,tester les images,tester URL seo</t>
  </si>
  <si>
    <t xml:space="preserve">Toutes</t>
  </si>
  <si>
    <t xml:space="preserve">Effectuer l’evaluation sur lighthouse google</t>
  </si>
  <si>
    <t xml:space="preserve">Correction</t>
  </si>
  <si>
    <t xml:space="preserve">Application des amelioration proposé par lighthouse google</t>
  </si>
  <si>
    <t xml:space="preserve">Back-office</t>
  </si>
  <si>
    <t xml:space="preserve">Conception base</t>
  </si>
  <si>
    <t xml:space="preserve">script.sql</t>
  </si>
  <si>
    <t xml:space="preserve">Base</t>
  </si>
  <si>
    <t xml:space="preserve">ETU003345</t>
  </si>
  <si>
    <t xml:space="preserve">Connexion PDO PostgreSQL ave gestion d’erreur</t>
  </si>
  <si>
    <t xml:space="preserve">database.php</t>
  </si>
  <si>
    <t xml:space="preserve">Création des fonctions usuelles: échappement HTML, redirect, auth, …</t>
  </si>
  <si>
    <t xml:space="preserve">functions.php</t>
  </si>
  <si>
    <t xml:space="preserve">Métier</t>
  </si>
  <si>
    <t xml:space="preserve">Création du modèle Admin avec les fonctions CRUD usuelles</t>
  </si>
  <si>
    <t xml:space="preserve">Admin.php</t>
  </si>
  <si>
    <t xml:space="preserve">Implémentation de la fonction authentification</t>
  </si>
  <si>
    <t xml:space="preserve">Création du formulaire de connexion avec value par défaut</t>
  </si>
  <si>
    <t xml:space="preserve">login.php</t>
  </si>
  <si>
    <t xml:space="preserve">Traitement authentification en appelant les fonctions du modèle Admin</t>
  </si>
  <si>
    <t xml:space="preserve">Intégration</t>
  </si>
  <si>
    <t xml:space="preserve">Création Session</t>
  </si>
  <si>
    <t xml:space="preserve">Destruction Session</t>
  </si>
  <si>
    <t xml:space="preserve">logout.php</t>
  </si>
  <si>
    <t xml:space="preserve">Création du modèle Article avec fonctions CRUD usuelles</t>
  </si>
  <si>
    <t xml:space="preserve">Article.php</t>
  </si>
  <si>
    <t xml:space="preserve">Fonctions: count, getRecent et getRelated</t>
  </si>
  <si>
    <t xml:space="preserve">Créer le modèle Image avec les méthodes de CRUD</t>
  </si>
  <si>
    <t xml:space="preserve">Image.php</t>
  </si>
  <si>
    <t xml:space="preserve">Implémentation de la fonction getByArticle</t>
  </si>
  <si>
    <t xml:space="preserve">Implémentation du dashboard pour afficher: nombre de catégorie, d’articles et d’images</t>
  </si>
  <si>
    <t xml:space="preserve">Utiliser la fonction getRecent du modèle Article:  puis boucler</t>
  </si>
  <si>
    <t xml:space="preserve">Utiliser les fonctions count pour afficher les stats</t>
  </si>
  <si>
    <t xml:space="preserve">Utiliser la fonction getAll du modèle Article puis boucler, ou supprimer si cliqué</t>
  </si>
  <si>
    <t xml:space="preserve">articles/index.php</t>
  </si>
  <si>
    <t xml:space="preserve">Afficher les articles avec un bouton pour supprimer</t>
  </si>
  <si>
    <t xml:space="preserve">Formulaire d’ajout</t>
  </si>
  <si>
    <t xml:space="preserve">articles/ajouter.php</t>
  </si>
  <si>
    <t xml:space="preserve">Intégration TinyMCE</t>
  </si>
  <si>
    <t xml:space="preserve">Appeler la fonction save du modèle Article</t>
  </si>
  <si>
    <t xml:space="preserve">Utiliser le même formulaire</t>
  </si>
  <si>
    <t xml:space="preserve">articles/modifier.php</t>
  </si>
  <si>
    <t xml:space="preserve">Vérifier si il existe un ID de produit, si oui, prendre les valeurs des champs et pré-remplir</t>
  </si>
  <si>
    <t xml:space="preserve">Appeler la fonction update du modèle Article</t>
  </si>
  <si>
    <t xml:space="preserve">Création du modèle Categorie.php avec les fonctions CRUD usuelles</t>
  </si>
  <si>
    <t xml:space="preserve">Categorie.php</t>
  </si>
  <si>
    <t xml:space="preserve">Utiliser la fonction getAll du modèle Categorie puis boucler, ou supprimer si cliqué</t>
  </si>
  <si>
    <t xml:space="preserve">categories/index.php</t>
  </si>
  <si>
    <t xml:space="preserve">Afficher les catégories</t>
  </si>
  <si>
    <t xml:space="preserve">categorie/ajouter.php</t>
  </si>
  <si>
    <t xml:space="preserve">Appeler la fonction save du modèle Catégorie</t>
  </si>
  <si>
    <t xml:space="preserve">Utiliser le même formulaire que l’ajout</t>
  </si>
  <si>
    <t xml:space="preserve">categorie/modifier.php</t>
  </si>
  <si>
    <t xml:space="preserve">Appeler la fonction update du modèle Catégorie</t>
  </si>
  <si>
    <t xml:space="preserve">Compression Gzip </t>
  </si>
  <si>
    <t xml:space="preserve">.htaccess</t>
  </si>
  <si>
    <t xml:space="preserve">Autres</t>
  </si>
  <si>
    <t xml:space="preserve">Mise en cache des fichiers statiques</t>
  </si>
  <si>
    <t xml:space="preserve">GET articles par ID</t>
  </si>
  <si>
    <t xml:space="preserve">/api/articles.php</t>
  </si>
  <si>
    <t xml:space="preserve">GET articles par slug</t>
  </si>
  <si>
    <t xml:space="preserve">GET articles par catégorie</t>
  </si>
  <si>
    <t xml:space="preserve">GET all articles avec inclusion image </t>
  </si>
  <si>
    <t xml:space="preserve">GET all </t>
  </si>
  <si>
    <t xml:space="preserve">/api/categorie.php</t>
  </si>
  <si>
    <t xml:space="preserve">Test de performance </t>
  </si>
  <si>
    <t xml:space="preserve">lighthouse</t>
  </si>
  <si>
    <t xml:space="preserve">Somme - Estimation</t>
  </si>
  <si>
    <t xml:space="preserve">Total Résultat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</si>
</sst>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C00]General"/>
    <numFmt numFmtId="166" formatCode="0.00%"/>
  </numFmts>
  <fonts count="7">
    <font>
      <sz val="10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34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4D4D4D"/>
        <bgColor rgb="FF666699"/>
      </patternFill>
    </fill>
    <fill>
      <patternFill patternType="solid">
        <fgColor rgb="FFFFFFFF"/>
        <bgColor rgb="FFFFFFCC"/>
      </patternFill>
    </fill>
    <fill>
      <patternFill patternType="solid">
        <fgColor rgb="FFCCCCCC"/>
        <bgColor rgb="FFCCCC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tégorie de la table dynamique" xfId="20"/>
    <cellStyle name="Champ de la table dynamique" xfId="21"/>
    <cellStyle name="Coin de la table dynamique" xfId="22"/>
    <cellStyle name="Résultat de la table dynamique" xfId="23"/>
    <cellStyle name="Titre de la table dynamique" xfId="24"/>
    <cellStyle name="Valeur de la table dynamique" xfId="25"/>
  </cellStyles>
  <dxfs count="5">
    <dxf>
      <fill>
        <patternFill patternType="solid">
          <fgColor rgb="FF000080"/>
          <bgColor rgb="FF000000"/>
        </patternFill>
      </fill>
    </dxf>
    <dxf>
      <fill>
        <patternFill patternType="solid">
          <fgColor rgb="FF4D4D4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CCC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D4D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6" createdVersion="3">
  <cacheSource type="worksheet">
    <worksheetSource ref="A1:K57" sheet="Liste des taches"/>
  </cacheSource>
  <cacheFields count="11">
    <cacheField name="Ligne" numFmtId="0">
      <sharedItems containsSemiMixedTypes="0" containsString="0" containsNumber="1" containsInteger="1" minValue="1" maxValue="56" count="5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</sharedItems>
    </cacheField>
    <cacheField name="Catégorie" numFmtId="0">
      <sharedItems containsBlank="1" count="9">
        <s v="Accueil"/>
        <s v="Article"/>
        <s v="Correction"/>
        <s v="Liste articles"/>
        <s v="Optimisation"/>
        <s v="SEO (larticle)"/>
        <s v="SEO (liste articles)"/>
        <s v="Test"/>
        <m/>
      </sharedItems>
    </cacheField>
    <cacheField name="Module" numFmtId="0">
      <sharedItems count="2">
        <s v="Back-office"/>
        <s v="Front-office"/>
      </sharedItems>
    </cacheField>
    <cacheField name="Taches" numFmtId="0">
      <sharedItems count="50">
        <s v="Afficher l'article"/>
        <s v="Afficher la liste des articles"/>
        <s v="Afficher les articles avec un bouton pour supprimer"/>
        <s v="Afficher les catégories"/>
        <s v="Amelioration SEO avec implementation des meta , titres et url rewriting"/>
        <s v="Appeler la fonction save du modèle Article"/>
        <s v="Appeler la fonction save du modèle Catégorie"/>
        <s v="Appeler la fonction update du modèle Article"/>
        <s v="Appeler la fonction update du modèle Catégorie"/>
        <s v="Application des amelioration proposé par lighthouse google"/>
        <s v="Compression Gzip "/>
        <s v="Conception base"/>
        <s v="Connexion PDO PostgreSQL ave gestion d’erreur"/>
        <s v="Correction"/>
        <s v="Creation d’une page index.php comme accuiel"/>
        <s v="Création des fonctions usuelles: échappement HTML, redirect, auth, …"/>
        <s v="Création du formulaire de connexion avec value par défaut"/>
        <s v="Création du modèle Admin avec les fonctions CRUD usuelles"/>
        <s v="Création du modèle Article avec fonctions CRUD usuelles"/>
        <s v="Création du modèle Categorie.php avec les fonctions CRUD usuelles"/>
        <s v="Création Session"/>
        <s v="Créer le modèle Image avec les méthodes de CRUD"/>
        <s v="Destruction Session"/>
        <s v="Effectuer l’evaluation sur lighthouse google"/>
        <s v="Effectuer un test complet :afficher liste des articles,afficher article,tester les images,tester URL seo"/>
        <s v="Fonctions: count, getRecent et getRelated"/>
        <s v="Formulaire d’ajout"/>
        <s v="GET all "/>
        <s v="GET all articles avec inclusion image "/>
        <s v="GET articles par catégorie"/>
        <s v="GET articles par ID"/>
        <s v="GET articles par slug"/>
        <s v="Implémentation de la fonction authentification"/>
        <s v="Implémentation de la fonction getByArticle"/>
        <s v="Implémentation du dashboard pour afficher: nombre de catégorie, d’articles et d’images"/>
        <s v="Intégration TinyMCE"/>
        <s v="Mise en cache des fichiers statiques"/>
        <s v="Optimisation du site : activation gzip et cache du navigateur"/>
        <s v="Optimisation du site : bundle.js, minimification css et js"/>
        <s v="Recuperer liste article(avec categories)"/>
        <s v="Recuperer un article"/>
        <s v="Test de performance "/>
        <s v="Traitement authentification en appelant les fonctions du modèle Admin"/>
        <s v="Utiliser la fonction getAll du modèle Article puis boucler, ou supprimer si cliqué"/>
        <s v="Utiliser la fonction getAll du modèle Categorie puis boucler, ou supprimer si cliqué"/>
        <s v="Utiliser la fonction getRecent du modèle Article:  puis boucler"/>
        <s v="Utiliser le même formulaire"/>
        <s v="Utiliser le même formulaire que l’ajout"/>
        <s v="Utiliser les fonctions count pour afficher les stats"/>
        <s v="Vérifier si il existe un ID de produit, si oui, prendre les valeurs des champs et pré-remplir"/>
      </sharedItems>
    </cacheField>
    <cacheField name="Pages" numFmtId="0">
      <sharedItems containsBlank="1" count="27">
        <s v=".htaccess"/>
        <s v="(.htaccess)"/>
        <s v="(.htaccess)/article.php"/>
        <s v="(.htaccess)/articles.php"/>
        <s v="/api/articles.php"/>
        <s v="/api/categorie.php"/>
        <s v="Admin.php"/>
        <s v="article.php"/>
        <s v="articles.php"/>
        <s v="articles/ajouter.php"/>
        <s v="articles/index.php"/>
        <s v="articles/modifier.php"/>
        <s v="Categorie.php"/>
        <s v="categorie/ajouter.php"/>
        <s v="categorie/modifier.php"/>
        <s v="categories/index.php"/>
        <s v="database.php"/>
        <s v="function.php/api.php"/>
        <s v="functions.php"/>
        <s v="Image.php"/>
        <s v="index.php"/>
        <s v="lighthouse"/>
        <s v="login.php"/>
        <s v="logout.php"/>
        <s v="script.sql"/>
        <s v="Toutes"/>
        <m/>
      </sharedItems>
    </cacheField>
    <cacheField name="Type" numFmtId="0">
      <sharedItems count="9">
        <s v="Affichage"/>
        <s v="Autres"/>
        <s v="Base"/>
        <s v="Integration"/>
        <s v="Intégration"/>
        <s v="Metier"/>
        <s v="Métier"/>
        <s v="Optimisation"/>
        <s v="Test"/>
      </sharedItems>
    </cacheField>
    <cacheField name="Qui" numFmtId="0">
      <sharedItems count="2">
        <s v="ETU003345"/>
        <s v="ETU003361"/>
      </sharedItems>
    </cacheField>
    <cacheField name="Estimation" numFmtId="0">
      <sharedItems containsSemiMixedTypes="0" containsString="0" containsNumber="1" containsInteger="1" minValue="5" maxValue="30" count="5">
        <n v="5"/>
        <n v="10"/>
        <n v="15"/>
        <n v="20"/>
        <n v="30"/>
      </sharedItems>
    </cacheField>
    <cacheField name="Temps passé" numFmtId="0">
      <sharedItems containsSemiMixedTypes="0" containsString="0" containsNumber="1" containsInteger="1" minValue="5" maxValue="30" count="5">
        <n v="5"/>
        <n v="10"/>
        <n v="15"/>
        <n v="20"/>
        <n v="30"/>
      </sharedItems>
    </cacheField>
    <cacheField name="Reste à faire" numFmtId="0">
      <sharedItems containsSemiMixedTypes="0" containsString="0" containsNumber="1" containsInteger="1" minValue="0" maxValue="0" count="1">
        <n v="0"/>
      </sharedItems>
    </cacheField>
    <cacheField name="Avancement" numFmtId="0">
      <sharedItems containsSemiMixedTypes="0" containsString="0" containsNumber="1" containsInteger="1" minValue="1" maxValue="1" count="1"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">
  <r>
    <x v="0"/>
    <x v="0"/>
    <x v="1"/>
    <x v="14"/>
    <x v="20"/>
    <x v="0"/>
    <x v="1"/>
    <x v="2"/>
    <x v="2"/>
    <x v="0"/>
    <x v="0"/>
  </r>
  <r>
    <x v="1"/>
    <x v="3"/>
    <x v="1"/>
    <x v="39"/>
    <x v="17"/>
    <x v="5"/>
    <x v="1"/>
    <x v="2"/>
    <x v="2"/>
    <x v="0"/>
    <x v="0"/>
  </r>
  <r>
    <x v="2"/>
    <x v="1"/>
    <x v="1"/>
    <x v="40"/>
    <x v="17"/>
    <x v="5"/>
    <x v="1"/>
    <x v="2"/>
    <x v="2"/>
    <x v="0"/>
    <x v="0"/>
  </r>
  <r>
    <x v="3"/>
    <x v="3"/>
    <x v="1"/>
    <x v="1"/>
    <x v="8"/>
    <x v="0"/>
    <x v="1"/>
    <x v="2"/>
    <x v="2"/>
    <x v="0"/>
    <x v="0"/>
  </r>
  <r>
    <x v="4"/>
    <x v="1"/>
    <x v="1"/>
    <x v="0"/>
    <x v="7"/>
    <x v="0"/>
    <x v="1"/>
    <x v="3"/>
    <x v="3"/>
    <x v="0"/>
    <x v="0"/>
  </r>
  <r>
    <x v="5"/>
    <x v="3"/>
    <x v="1"/>
    <x v="1"/>
    <x v="8"/>
    <x v="3"/>
    <x v="1"/>
    <x v="2"/>
    <x v="2"/>
    <x v="0"/>
    <x v="0"/>
  </r>
  <r>
    <x v="6"/>
    <x v="1"/>
    <x v="1"/>
    <x v="0"/>
    <x v="7"/>
    <x v="3"/>
    <x v="1"/>
    <x v="3"/>
    <x v="3"/>
    <x v="0"/>
    <x v="0"/>
  </r>
  <r>
    <x v="7"/>
    <x v="6"/>
    <x v="1"/>
    <x v="4"/>
    <x v="3"/>
    <x v="3"/>
    <x v="1"/>
    <x v="3"/>
    <x v="3"/>
    <x v="0"/>
    <x v="0"/>
  </r>
  <r>
    <x v="8"/>
    <x v="5"/>
    <x v="1"/>
    <x v="4"/>
    <x v="2"/>
    <x v="3"/>
    <x v="1"/>
    <x v="3"/>
    <x v="3"/>
    <x v="0"/>
    <x v="0"/>
  </r>
  <r>
    <x v="9"/>
    <x v="4"/>
    <x v="1"/>
    <x v="38"/>
    <x v="1"/>
    <x v="7"/>
    <x v="1"/>
    <x v="2"/>
    <x v="2"/>
    <x v="0"/>
    <x v="0"/>
  </r>
  <r>
    <x v="10"/>
    <x v="4"/>
    <x v="1"/>
    <x v="37"/>
    <x v="1"/>
    <x v="7"/>
    <x v="1"/>
    <x v="2"/>
    <x v="2"/>
    <x v="0"/>
    <x v="0"/>
  </r>
  <r>
    <x v="11"/>
    <x v="7"/>
    <x v="1"/>
    <x v="24"/>
    <x v="25"/>
    <x v="8"/>
    <x v="1"/>
    <x v="3"/>
    <x v="3"/>
    <x v="0"/>
    <x v="0"/>
  </r>
  <r>
    <x v="12"/>
    <x v="7"/>
    <x v="1"/>
    <x v="23"/>
    <x v="25"/>
    <x v="8"/>
    <x v="1"/>
    <x v="2"/>
    <x v="2"/>
    <x v="0"/>
    <x v="0"/>
  </r>
  <r>
    <x v="13"/>
    <x v="2"/>
    <x v="1"/>
    <x v="9"/>
    <x v="25"/>
    <x v="7"/>
    <x v="1"/>
    <x v="4"/>
    <x v="4"/>
    <x v="0"/>
    <x v="0"/>
  </r>
  <r>
    <x v="14"/>
    <x v="8"/>
    <x v="0"/>
    <x v="11"/>
    <x v="24"/>
    <x v="2"/>
    <x v="0"/>
    <x v="3"/>
    <x v="3"/>
    <x v="0"/>
    <x v="0"/>
  </r>
  <r>
    <x v="15"/>
    <x v="8"/>
    <x v="0"/>
    <x v="12"/>
    <x v="16"/>
    <x v="2"/>
    <x v="0"/>
    <x v="2"/>
    <x v="2"/>
    <x v="0"/>
    <x v="0"/>
  </r>
  <r>
    <x v="16"/>
    <x v="8"/>
    <x v="0"/>
    <x v="15"/>
    <x v="18"/>
    <x v="6"/>
    <x v="0"/>
    <x v="2"/>
    <x v="2"/>
    <x v="0"/>
    <x v="0"/>
  </r>
  <r>
    <x v="17"/>
    <x v="8"/>
    <x v="0"/>
    <x v="17"/>
    <x v="6"/>
    <x v="6"/>
    <x v="0"/>
    <x v="1"/>
    <x v="1"/>
    <x v="0"/>
    <x v="0"/>
  </r>
  <r>
    <x v="18"/>
    <x v="8"/>
    <x v="0"/>
    <x v="32"/>
    <x v="26"/>
    <x v="6"/>
    <x v="0"/>
    <x v="0"/>
    <x v="0"/>
    <x v="0"/>
    <x v="0"/>
  </r>
  <r>
    <x v="19"/>
    <x v="8"/>
    <x v="0"/>
    <x v="16"/>
    <x v="22"/>
    <x v="0"/>
    <x v="0"/>
    <x v="1"/>
    <x v="1"/>
    <x v="0"/>
    <x v="0"/>
  </r>
  <r>
    <x v="20"/>
    <x v="8"/>
    <x v="0"/>
    <x v="42"/>
    <x v="26"/>
    <x v="4"/>
    <x v="0"/>
    <x v="1"/>
    <x v="1"/>
    <x v="0"/>
    <x v="0"/>
  </r>
  <r>
    <x v="21"/>
    <x v="8"/>
    <x v="0"/>
    <x v="20"/>
    <x v="26"/>
    <x v="4"/>
    <x v="0"/>
    <x v="0"/>
    <x v="0"/>
    <x v="0"/>
    <x v="0"/>
  </r>
  <r>
    <x v="22"/>
    <x v="8"/>
    <x v="0"/>
    <x v="22"/>
    <x v="23"/>
    <x v="4"/>
    <x v="0"/>
    <x v="0"/>
    <x v="0"/>
    <x v="0"/>
    <x v="0"/>
  </r>
  <r>
    <x v="23"/>
    <x v="8"/>
    <x v="0"/>
    <x v="18"/>
    <x v="7"/>
    <x v="6"/>
    <x v="0"/>
    <x v="1"/>
    <x v="1"/>
    <x v="0"/>
    <x v="0"/>
  </r>
  <r>
    <x v="24"/>
    <x v="8"/>
    <x v="0"/>
    <x v="25"/>
    <x v="26"/>
    <x v="6"/>
    <x v="0"/>
    <x v="1"/>
    <x v="1"/>
    <x v="0"/>
    <x v="0"/>
  </r>
  <r>
    <x v="25"/>
    <x v="8"/>
    <x v="0"/>
    <x v="21"/>
    <x v="19"/>
    <x v="6"/>
    <x v="0"/>
    <x v="1"/>
    <x v="1"/>
    <x v="0"/>
    <x v="0"/>
  </r>
  <r>
    <x v="26"/>
    <x v="8"/>
    <x v="0"/>
    <x v="33"/>
    <x v="26"/>
    <x v="6"/>
    <x v="0"/>
    <x v="0"/>
    <x v="0"/>
    <x v="0"/>
    <x v="0"/>
  </r>
  <r>
    <x v="27"/>
    <x v="8"/>
    <x v="0"/>
    <x v="34"/>
    <x v="20"/>
    <x v="0"/>
    <x v="0"/>
    <x v="1"/>
    <x v="1"/>
    <x v="0"/>
    <x v="0"/>
  </r>
  <r>
    <x v="28"/>
    <x v="8"/>
    <x v="0"/>
    <x v="45"/>
    <x v="26"/>
    <x v="4"/>
    <x v="0"/>
    <x v="1"/>
    <x v="1"/>
    <x v="0"/>
    <x v="0"/>
  </r>
  <r>
    <x v="29"/>
    <x v="8"/>
    <x v="0"/>
    <x v="48"/>
    <x v="26"/>
    <x v="4"/>
    <x v="0"/>
    <x v="0"/>
    <x v="0"/>
    <x v="0"/>
    <x v="0"/>
  </r>
  <r>
    <x v="30"/>
    <x v="8"/>
    <x v="0"/>
    <x v="43"/>
    <x v="10"/>
    <x v="4"/>
    <x v="0"/>
    <x v="1"/>
    <x v="1"/>
    <x v="0"/>
    <x v="0"/>
  </r>
  <r>
    <x v="31"/>
    <x v="8"/>
    <x v="0"/>
    <x v="2"/>
    <x v="26"/>
    <x v="0"/>
    <x v="0"/>
    <x v="0"/>
    <x v="0"/>
    <x v="0"/>
    <x v="0"/>
  </r>
  <r>
    <x v="32"/>
    <x v="8"/>
    <x v="0"/>
    <x v="26"/>
    <x v="9"/>
    <x v="0"/>
    <x v="0"/>
    <x v="1"/>
    <x v="1"/>
    <x v="0"/>
    <x v="0"/>
  </r>
  <r>
    <x v="33"/>
    <x v="8"/>
    <x v="0"/>
    <x v="35"/>
    <x v="26"/>
    <x v="4"/>
    <x v="0"/>
    <x v="0"/>
    <x v="0"/>
    <x v="0"/>
    <x v="0"/>
  </r>
  <r>
    <x v="34"/>
    <x v="8"/>
    <x v="0"/>
    <x v="5"/>
    <x v="26"/>
    <x v="4"/>
    <x v="0"/>
    <x v="0"/>
    <x v="0"/>
    <x v="0"/>
    <x v="0"/>
  </r>
  <r>
    <x v="35"/>
    <x v="8"/>
    <x v="0"/>
    <x v="46"/>
    <x v="11"/>
    <x v="0"/>
    <x v="0"/>
    <x v="0"/>
    <x v="0"/>
    <x v="0"/>
    <x v="0"/>
  </r>
  <r>
    <x v="36"/>
    <x v="8"/>
    <x v="0"/>
    <x v="49"/>
    <x v="26"/>
    <x v="4"/>
    <x v="0"/>
    <x v="0"/>
    <x v="0"/>
    <x v="0"/>
    <x v="0"/>
  </r>
  <r>
    <x v="37"/>
    <x v="8"/>
    <x v="0"/>
    <x v="7"/>
    <x v="26"/>
    <x v="4"/>
    <x v="0"/>
    <x v="0"/>
    <x v="0"/>
    <x v="0"/>
    <x v="0"/>
  </r>
  <r>
    <x v="38"/>
    <x v="8"/>
    <x v="0"/>
    <x v="35"/>
    <x v="26"/>
    <x v="4"/>
    <x v="0"/>
    <x v="2"/>
    <x v="2"/>
    <x v="0"/>
    <x v="0"/>
  </r>
  <r>
    <x v="39"/>
    <x v="8"/>
    <x v="0"/>
    <x v="19"/>
    <x v="12"/>
    <x v="6"/>
    <x v="0"/>
    <x v="1"/>
    <x v="1"/>
    <x v="0"/>
    <x v="0"/>
  </r>
  <r>
    <x v="40"/>
    <x v="8"/>
    <x v="0"/>
    <x v="44"/>
    <x v="15"/>
    <x v="4"/>
    <x v="0"/>
    <x v="1"/>
    <x v="1"/>
    <x v="0"/>
    <x v="0"/>
  </r>
  <r>
    <x v="41"/>
    <x v="8"/>
    <x v="0"/>
    <x v="3"/>
    <x v="26"/>
    <x v="0"/>
    <x v="0"/>
    <x v="1"/>
    <x v="1"/>
    <x v="0"/>
    <x v="0"/>
  </r>
  <r>
    <x v="42"/>
    <x v="8"/>
    <x v="0"/>
    <x v="26"/>
    <x v="13"/>
    <x v="0"/>
    <x v="0"/>
    <x v="1"/>
    <x v="1"/>
    <x v="0"/>
    <x v="0"/>
  </r>
  <r>
    <x v="43"/>
    <x v="8"/>
    <x v="0"/>
    <x v="6"/>
    <x v="26"/>
    <x v="4"/>
    <x v="0"/>
    <x v="0"/>
    <x v="0"/>
    <x v="0"/>
    <x v="0"/>
  </r>
  <r>
    <x v="44"/>
    <x v="8"/>
    <x v="0"/>
    <x v="47"/>
    <x v="14"/>
    <x v="0"/>
    <x v="0"/>
    <x v="0"/>
    <x v="0"/>
    <x v="0"/>
    <x v="0"/>
  </r>
  <r>
    <x v="45"/>
    <x v="8"/>
    <x v="0"/>
    <x v="49"/>
    <x v="26"/>
    <x v="4"/>
    <x v="0"/>
    <x v="0"/>
    <x v="0"/>
    <x v="0"/>
    <x v="0"/>
  </r>
  <r>
    <x v="46"/>
    <x v="8"/>
    <x v="0"/>
    <x v="8"/>
    <x v="26"/>
    <x v="4"/>
    <x v="0"/>
    <x v="0"/>
    <x v="0"/>
    <x v="0"/>
    <x v="0"/>
  </r>
  <r>
    <x v="47"/>
    <x v="8"/>
    <x v="0"/>
    <x v="10"/>
    <x v="0"/>
    <x v="1"/>
    <x v="0"/>
    <x v="1"/>
    <x v="1"/>
    <x v="0"/>
    <x v="0"/>
  </r>
  <r>
    <x v="48"/>
    <x v="8"/>
    <x v="0"/>
    <x v="36"/>
    <x v="26"/>
    <x v="1"/>
    <x v="0"/>
    <x v="1"/>
    <x v="1"/>
    <x v="0"/>
    <x v="0"/>
  </r>
  <r>
    <x v="49"/>
    <x v="8"/>
    <x v="0"/>
    <x v="30"/>
    <x v="4"/>
    <x v="6"/>
    <x v="1"/>
    <x v="0"/>
    <x v="0"/>
    <x v="0"/>
    <x v="0"/>
  </r>
  <r>
    <x v="50"/>
    <x v="8"/>
    <x v="0"/>
    <x v="31"/>
    <x v="26"/>
    <x v="6"/>
    <x v="1"/>
    <x v="0"/>
    <x v="0"/>
    <x v="0"/>
    <x v="0"/>
  </r>
  <r>
    <x v="51"/>
    <x v="8"/>
    <x v="0"/>
    <x v="29"/>
    <x v="26"/>
    <x v="6"/>
    <x v="1"/>
    <x v="0"/>
    <x v="0"/>
    <x v="0"/>
    <x v="0"/>
  </r>
  <r>
    <x v="52"/>
    <x v="8"/>
    <x v="0"/>
    <x v="28"/>
    <x v="26"/>
    <x v="6"/>
    <x v="1"/>
    <x v="0"/>
    <x v="0"/>
    <x v="0"/>
    <x v="0"/>
  </r>
  <r>
    <x v="53"/>
    <x v="8"/>
    <x v="0"/>
    <x v="27"/>
    <x v="5"/>
    <x v="6"/>
    <x v="1"/>
    <x v="0"/>
    <x v="0"/>
    <x v="0"/>
    <x v="0"/>
  </r>
  <r>
    <x v="54"/>
    <x v="8"/>
    <x v="0"/>
    <x v="41"/>
    <x v="21"/>
    <x v="1"/>
    <x v="1"/>
    <x v="2"/>
    <x v="2"/>
    <x v="0"/>
    <x v="0"/>
  </r>
  <r>
    <x v="55"/>
    <x v="8"/>
    <x v="0"/>
    <x v="13"/>
    <x v="26"/>
    <x v="1"/>
    <x v="0"/>
    <x v="1"/>
    <x v="1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4" firstHeaderRow="1" firstDataRow="1" firstDataCol="1"/>
  <pivotFields count="11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2">
        <item x="0"/>
        <item x="1"/>
      </items>
    </pivotField>
    <pivotField dataField="1" compact="0" showAll="0" outline="0"/>
    <pivotField compact="0" showAll="0"/>
    <pivotField compact="0" showAll="0"/>
    <pivotField compact="0" showAll="0"/>
  </pivotFields>
  <rowFields count="1">
    <field x="6"/>
  </rowFields>
  <rowItems count="3">
    <i>
      <x v="0"/>
    </i>
    <i>
      <x v="1"/>
    </i>
    <i t="grand">
      <x v="2"/>
    </i>
  </rowItems>
  <colItems count="1">
    <i t="grand">
      <x v="0"/>
    </i>
  </colItems>
  <dataFields count="1">
    <dataField name="Somme - Estimation" fld="7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" customHeight="true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1" width="16.49"/>
    <col collapsed="false" customWidth="true" hidden="false" outlineLevel="0" max="3" min="3" style="1" width="10.66"/>
    <col collapsed="false" customWidth="true" hidden="false" outlineLevel="0" max="4" min="4" style="1" width="81.37"/>
    <col collapsed="false" customWidth="true" hidden="false" outlineLevel="0" max="5" min="5" style="1" width="20.22"/>
    <col collapsed="false" customWidth="true" hidden="false" outlineLevel="0" max="6" min="6" style="1" width="11.48"/>
    <col collapsed="false" customWidth="true" hidden="false" outlineLevel="0" max="7" min="7" style="0" width="10.94"/>
    <col collapsed="false" customWidth="true" hidden="false" outlineLevel="0" max="8" min="8" style="0" width="9.84"/>
    <col collapsed="false" customWidth="true" hidden="false" outlineLevel="0" max="9" min="9" style="0" width="12.3"/>
    <col collapsed="false" customWidth="true" hidden="false" outlineLevel="0" max="10" min="10" style="0" width="11.75"/>
    <col collapsed="false" customWidth="true" hidden="false" outlineLevel="0" max="11" min="11" style="0" width="17.9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3" t="n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n">
        <v>15</v>
      </c>
      <c r="I2" s="4" t="n">
        <v>15</v>
      </c>
      <c r="J2" s="5" t="n">
        <f aca="false">H2-I2</f>
        <v>0</v>
      </c>
      <c r="K2" s="6" t="n">
        <f aca="false">I2/(I2+J2)</f>
        <v>1</v>
      </c>
    </row>
    <row r="3" customFormat="false" ht="15" hidden="false" customHeight="false" outlineLevel="0" collapsed="false">
      <c r="A3" s="3" t="n">
        <v>2</v>
      </c>
      <c r="B3" s="4" t="s">
        <v>17</v>
      </c>
      <c r="C3" s="4" t="s">
        <v>12</v>
      </c>
      <c r="D3" s="4" t="s">
        <v>18</v>
      </c>
      <c r="E3" s="4" t="s">
        <v>19</v>
      </c>
      <c r="F3" s="4" t="s">
        <v>20</v>
      </c>
      <c r="G3" s="4" t="s">
        <v>16</v>
      </c>
      <c r="H3" s="4" t="n">
        <v>15</v>
      </c>
      <c r="I3" s="4" t="n">
        <v>15</v>
      </c>
      <c r="J3" s="5" t="n">
        <f aca="false">H3-I3</f>
        <v>0</v>
      </c>
      <c r="K3" s="6" t="n">
        <f aca="false">I3/(I3+J3)</f>
        <v>1</v>
      </c>
    </row>
    <row r="4" customFormat="false" ht="15" hidden="false" customHeight="false" outlineLevel="0" collapsed="false">
      <c r="A4" s="3" t="n">
        <v>3</v>
      </c>
      <c r="B4" s="4" t="s">
        <v>21</v>
      </c>
      <c r="C4" s="4" t="s">
        <v>12</v>
      </c>
      <c r="D4" s="4" t="s">
        <v>22</v>
      </c>
      <c r="E4" s="4" t="s">
        <v>19</v>
      </c>
      <c r="F4" s="4" t="s">
        <v>20</v>
      </c>
      <c r="G4" s="4" t="s">
        <v>16</v>
      </c>
      <c r="H4" s="4" t="n">
        <v>15</v>
      </c>
      <c r="I4" s="4" t="n">
        <v>15</v>
      </c>
      <c r="J4" s="5" t="n">
        <f aca="false">H4-I4</f>
        <v>0</v>
      </c>
      <c r="K4" s="6" t="n">
        <f aca="false">I4/(I4+J4)</f>
        <v>1</v>
      </c>
    </row>
    <row r="5" customFormat="false" ht="15" hidden="false" customHeight="false" outlineLevel="0" collapsed="false">
      <c r="A5" s="3" t="n">
        <v>4</v>
      </c>
      <c r="B5" s="4" t="s">
        <v>17</v>
      </c>
      <c r="C5" s="4" t="s">
        <v>12</v>
      </c>
      <c r="D5" s="4" t="s">
        <v>23</v>
      </c>
      <c r="E5" s="4" t="s">
        <v>24</v>
      </c>
      <c r="F5" s="4" t="s">
        <v>15</v>
      </c>
      <c r="G5" s="4" t="s">
        <v>16</v>
      </c>
      <c r="H5" s="4" t="n">
        <v>15</v>
      </c>
      <c r="I5" s="4" t="n">
        <v>15</v>
      </c>
      <c r="J5" s="5" t="n">
        <f aca="false">H5-I5</f>
        <v>0</v>
      </c>
      <c r="K5" s="6" t="n">
        <f aca="false">I5/(I5+J5)</f>
        <v>1</v>
      </c>
    </row>
    <row r="6" customFormat="false" ht="15" hidden="false" customHeight="false" outlineLevel="0" collapsed="false">
      <c r="A6" s="3" t="n">
        <v>5</v>
      </c>
      <c r="B6" s="4" t="s">
        <v>21</v>
      </c>
      <c r="C6" s="4" t="s">
        <v>12</v>
      </c>
      <c r="D6" s="4" t="s">
        <v>25</v>
      </c>
      <c r="E6" s="4" t="s">
        <v>26</v>
      </c>
      <c r="F6" s="4" t="s">
        <v>15</v>
      </c>
      <c r="G6" s="4" t="s">
        <v>16</v>
      </c>
      <c r="H6" s="4" t="n">
        <v>20</v>
      </c>
      <c r="I6" s="4" t="n">
        <v>20</v>
      </c>
      <c r="J6" s="5" t="n">
        <f aca="false">H6-I6</f>
        <v>0</v>
      </c>
      <c r="K6" s="6" t="n">
        <f aca="false">I6/(I6+J6)</f>
        <v>1</v>
      </c>
    </row>
    <row r="7" customFormat="false" ht="15" hidden="false" customHeight="false" outlineLevel="0" collapsed="false">
      <c r="A7" s="3" t="n">
        <v>6</v>
      </c>
      <c r="B7" s="4" t="s">
        <v>17</v>
      </c>
      <c r="C7" s="4" t="s">
        <v>12</v>
      </c>
      <c r="D7" s="4" t="s">
        <v>23</v>
      </c>
      <c r="E7" s="4" t="s">
        <v>24</v>
      </c>
      <c r="F7" s="4" t="s">
        <v>27</v>
      </c>
      <c r="G7" s="4" t="s">
        <v>16</v>
      </c>
      <c r="H7" s="4" t="n">
        <v>15</v>
      </c>
      <c r="I7" s="4" t="n">
        <v>15</v>
      </c>
      <c r="J7" s="5" t="n">
        <f aca="false">H7-I7</f>
        <v>0</v>
      </c>
      <c r="K7" s="6" t="n">
        <f aca="false">I7/(I7+J7)</f>
        <v>1</v>
      </c>
    </row>
    <row r="8" customFormat="false" ht="15" hidden="false" customHeight="false" outlineLevel="0" collapsed="false">
      <c r="A8" s="3" t="n">
        <v>7</v>
      </c>
      <c r="B8" s="4" t="s">
        <v>21</v>
      </c>
      <c r="C8" s="4" t="s">
        <v>12</v>
      </c>
      <c r="D8" s="4" t="s">
        <v>25</v>
      </c>
      <c r="E8" s="4" t="s">
        <v>26</v>
      </c>
      <c r="F8" s="4" t="s">
        <v>27</v>
      </c>
      <c r="G8" s="4" t="s">
        <v>16</v>
      </c>
      <c r="H8" s="4" t="n">
        <v>20</v>
      </c>
      <c r="I8" s="4" t="n">
        <v>20</v>
      </c>
      <c r="J8" s="5" t="n">
        <f aca="false">H8-I8</f>
        <v>0</v>
      </c>
      <c r="K8" s="6" t="n">
        <f aca="false">I8/(I8+J8)</f>
        <v>1</v>
      </c>
    </row>
    <row r="9" customFormat="false" ht="15" hidden="false" customHeight="false" outlineLevel="0" collapsed="false">
      <c r="A9" s="3" t="n">
        <v>8</v>
      </c>
      <c r="B9" s="4" t="s">
        <v>28</v>
      </c>
      <c r="C9" s="4" t="s">
        <v>12</v>
      </c>
      <c r="D9" s="4" t="s">
        <v>29</v>
      </c>
      <c r="E9" s="4" t="s">
        <v>30</v>
      </c>
      <c r="F9" s="4" t="s">
        <v>27</v>
      </c>
      <c r="G9" s="4" t="s">
        <v>16</v>
      </c>
      <c r="H9" s="4" t="n">
        <v>20</v>
      </c>
      <c r="I9" s="4" t="n">
        <v>20</v>
      </c>
      <c r="J9" s="5" t="n">
        <f aca="false">H9-I9</f>
        <v>0</v>
      </c>
      <c r="K9" s="6" t="n">
        <f aca="false">I9/(I9+J9)</f>
        <v>1</v>
      </c>
    </row>
    <row r="10" customFormat="false" ht="15" hidden="false" customHeight="false" outlineLevel="0" collapsed="false">
      <c r="A10" s="3" t="n">
        <v>9</v>
      </c>
      <c r="B10" s="4" t="s">
        <v>31</v>
      </c>
      <c r="C10" s="4" t="s">
        <v>12</v>
      </c>
      <c r="D10" s="4" t="s">
        <v>29</v>
      </c>
      <c r="E10" s="4" t="s">
        <v>32</v>
      </c>
      <c r="F10" s="4" t="s">
        <v>27</v>
      </c>
      <c r="G10" s="4" t="s">
        <v>16</v>
      </c>
      <c r="H10" s="4" t="n">
        <v>20</v>
      </c>
      <c r="I10" s="4" t="n">
        <v>20</v>
      </c>
      <c r="J10" s="5" t="n">
        <f aca="false">H10-I10</f>
        <v>0</v>
      </c>
      <c r="K10" s="6" t="n">
        <f aca="false">I10/(I10+J10)</f>
        <v>1</v>
      </c>
    </row>
    <row r="11" customFormat="false" ht="15" hidden="false" customHeight="false" outlineLevel="0" collapsed="false">
      <c r="A11" s="3" t="n">
        <v>10</v>
      </c>
      <c r="B11" s="4" t="s">
        <v>33</v>
      </c>
      <c r="C11" s="4" t="s">
        <v>12</v>
      </c>
      <c r="D11" s="4" t="s">
        <v>34</v>
      </c>
      <c r="E11" s="4" t="s">
        <v>35</v>
      </c>
      <c r="F11" s="4" t="s">
        <v>33</v>
      </c>
      <c r="G11" s="4" t="s">
        <v>16</v>
      </c>
      <c r="H11" s="4" t="n">
        <v>15</v>
      </c>
      <c r="I11" s="4" t="n">
        <v>15</v>
      </c>
      <c r="J11" s="5" t="n">
        <f aca="false">H11-I11</f>
        <v>0</v>
      </c>
      <c r="K11" s="6" t="n">
        <f aca="false">I11/(I11+J11)</f>
        <v>1</v>
      </c>
    </row>
    <row r="12" customFormat="false" ht="15" hidden="false" customHeight="false" outlineLevel="0" collapsed="false">
      <c r="A12" s="3" t="n">
        <v>11</v>
      </c>
      <c r="B12" s="4" t="s">
        <v>33</v>
      </c>
      <c r="C12" s="4" t="s">
        <v>12</v>
      </c>
      <c r="D12" s="4" t="s">
        <v>36</v>
      </c>
      <c r="E12" s="4" t="s">
        <v>35</v>
      </c>
      <c r="F12" s="4" t="s">
        <v>33</v>
      </c>
      <c r="G12" s="4" t="s">
        <v>16</v>
      </c>
      <c r="H12" s="4" t="n">
        <v>15</v>
      </c>
      <c r="I12" s="4" t="n">
        <v>15</v>
      </c>
      <c r="J12" s="5" t="n">
        <f aca="false">H12-I12</f>
        <v>0</v>
      </c>
      <c r="K12" s="6" t="n">
        <f aca="false">I12/(I12+J12)</f>
        <v>1</v>
      </c>
    </row>
    <row r="13" customFormat="false" ht="15" hidden="false" customHeight="false" outlineLevel="0" collapsed="false">
      <c r="A13" s="3" t="n">
        <v>12</v>
      </c>
      <c r="B13" s="4" t="s">
        <v>37</v>
      </c>
      <c r="C13" s="4" t="s">
        <v>12</v>
      </c>
      <c r="D13" s="4" t="s">
        <v>38</v>
      </c>
      <c r="E13" s="4" t="s">
        <v>39</v>
      </c>
      <c r="F13" s="4" t="s">
        <v>37</v>
      </c>
      <c r="G13" s="4" t="s">
        <v>16</v>
      </c>
      <c r="H13" s="4" t="n">
        <v>20</v>
      </c>
      <c r="I13" s="4" t="n">
        <v>20</v>
      </c>
      <c r="J13" s="5" t="n">
        <f aca="false">H13-I13</f>
        <v>0</v>
      </c>
      <c r="K13" s="6" t="n">
        <f aca="false">I13/(I13+J13)</f>
        <v>1</v>
      </c>
    </row>
    <row r="14" customFormat="false" ht="15" hidden="false" customHeight="false" outlineLevel="0" collapsed="false">
      <c r="A14" s="3" t="n">
        <v>13</v>
      </c>
      <c r="B14" s="4" t="s">
        <v>37</v>
      </c>
      <c r="C14" s="4" t="s">
        <v>12</v>
      </c>
      <c r="D14" s="4" t="s">
        <v>40</v>
      </c>
      <c r="E14" s="4" t="s">
        <v>39</v>
      </c>
      <c r="F14" s="4" t="s">
        <v>37</v>
      </c>
      <c r="G14" s="4" t="s">
        <v>16</v>
      </c>
      <c r="H14" s="4" t="n">
        <v>15</v>
      </c>
      <c r="I14" s="4" t="n">
        <v>15</v>
      </c>
      <c r="J14" s="5" t="n">
        <f aca="false">H14-I14</f>
        <v>0</v>
      </c>
      <c r="K14" s="6" t="n">
        <f aca="false">I14/(I14+J14)</f>
        <v>1</v>
      </c>
    </row>
    <row r="15" customFormat="false" ht="15" hidden="false" customHeight="false" outlineLevel="0" collapsed="false">
      <c r="A15" s="3" t="n">
        <v>14</v>
      </c>
      <c r="B15" s="4" t="s">
        <v>41</v>
      </c>
      <c r="C15" s="4" t="s">
        <v>12</v>
      </c>
      <c r="D15" s="4" t="s">
        <v>42</v>
      </c>
      <c r="E15" s="4" t="s">
        <v>39</v>
      </c>
      <c r="F15" s="4" t="s">
        <v>33</v>
      </c>
      <c r="G15" s="4" t="s">
        <v>16</v>
      </c>
      <c r="H15" s="4" t="n">
        <v>30</v>
      </c>
      <c r="I15" s="4" t="n">
        <v>30</v>
      </c>
      <c r="J15" s="5" t="n">
        <f aca="false">H15-I15</f>
        <v>0</v>
      </c>
      <c r="K15" s="6" t="n">
        <f aca="false">I15/(I15+J15)</f>
        <v>1</v>
      </c>
    </row>
    <row r="16" customFormat="false" ht="15" hidden="false" customHeight="false" outlineLevel="0" collapsed="false">
      <c r="A16" s="3" t="n">
        <v>15</v>
      </c>
      <c r="B16" s="4"/>
      <c r="C16" s="4" t="s">
        <v>43</v>
      </c>
      <c r="D16" s="4" t="s">
        <v>44</v>
      </c>
      <c r="E16" s="4" t="s">
        <v>45</v>
      </c>
      <c r="F16" s="4" t="s">
        <v>46</v>
      </c>
      <c r="G16" s="4" t="s">
        <v>47</v>
      </c>
      <c r="H16" s="4" t="n">
        <v>20</v>
      </c>
      <c r="I16" s="4" t="n">
        <v>20</v>
      </c>
      <c r="J16" s="5" t="n">
        <f aca="false">H16-I16</f>
        <v>0</v>
      </c>
      <c r="K16" s="6" t="n">
        <f aca="false">I16/(I16+J16)</f>
        <v>1</v>
      </c>
    </row>
    <row r="17" customFormat="false" ht="15" hidden="false" customHeight="false" outlineLevel="0" collapsed="false">
      <c r="A17" s="3" t="n">
        <v>16</v>
      </c>
      <c r="B17" s="4"/>
      <c r="C17" s="4" t="s">
        <v>43</v>
      </c>
      <c r="D17" s="4" t="s">
        <v>48</v>
      </c>
      <c r="E17" s="4" t="s">
        <v>49</v>
      </c>
      <c r="F17" s="4" t="s">
        <v>46</v>
      </c>
      <c r="G17" s="4" t="s">
        <v>47</v>
      </c>
      <c r="H17" s="4" t="n">
        <v>15</v>
      </c>
      <c r="I17" s="4" t="n">
        <v>15</v>
      </c>
      <c r="J17" s="5" t="n">
        <f aca="false">H17-I17</f>
        <v>0</v>
      </c>
      <c r="K17" s="6" t="n">
        <f aca="false">I17/(I17+J17)</f>
        <v>1</v>
      </c>
    </row>
    <row r="18" customFormat="false" ht="15" hidden="false" customHeight="false" outlineLevel="0" collapsed="false">
      <c r="A18" s="3" t="n">
        <v>17</v>
      </c>
      <c r="B18" s="4"/>
      <c r="C18" s="4" t="s">
        <v>43</v>
      </c>
      <c r="D18" s="4" t="s">
        <v>50</v>
      </c>
      <c r="E18" s="4" t="s">
        <v>51</v>
      </c>
      <c r="F18" s="4" t="s">
        <v>52</v>
      </c>
      <c r="G18" s="4" t="s">
        <v>47</v>
      </c>
      <c r="H18" s="4" t="n">
        <v>15</v>
      </c>
      <c r="I18" s="4" t="n">
        <v>15</v>
      </c>
      <c r="J18" s="5" t="n">
        <f aca="false">H18-I18</f>
        <v>0</v>
      </c>
      <c r="K18" s="6" t="n">
        <f aca="false">I18/(I18+J18)</f>
        <v>1</v>
      </c>
    </row>
    <row r="19" customFormat="false" ht="15" hidden="false" customHeight="false" outlineLevel="0" collapsed="false">
      <c r="A19" s="3" t="n">
        <v>18</v>
      </c>
      <c r="B19" s="4"/>
      <c r="C19" s="4" t="s">
        <v>43</v>
      </c>
      <c r="D19" s="4" t="s">
        <v>53</v>
      </c>
      <c r="E19" s="4" t="s">
        <v>54</v>
      </c>
      <c r="F19" s="4" t="s">
        <v>52</v>
      </c>
      <c r="G19" s="4" t="s">
        <v>47</v>
      </c>
      <c r="H19" s="4" t="n">
        <v>10</v>
      </c>
      <c r="I19" s="4" t="n">
        <v>10</v>
      </c>
      <c r="J19" s="5" t="n">
        <f aca="false">H19-I19</f>
        <v>0</v>
      </c>
      <c r="K19" s="6" t="n">
        <f aca="false">I19/(I19+J19)</f>
        <v>1</v>
      </c>
    </row>
    <row r="20" customFormat="false" ht="15" hidden="false" customHeight="false" outlineLevel="0" collapsed="false">
      <c r="A20" s="3" t="n">
        <v>19</v>
      </c>
      <c r="B20" s="4"/>
      <c r="C20" s="4" t="s">
        <v>43</v>
      </c>
      <c r="D20" s="4" t="s">
        <v>55</v>
      </c>
      <c r="E20" s="4"/>
      <c r="F20" s="4" t="s">
        <v>52</v>
      </c>
      <c r="G20" s="4" t="s">
        <v>47</v>
      </c>
      <c r="H20" s="4" t="n">
        <v>5</v>
      </c>
      <c r="I20" s="4" t="n">
        <v>5</v>
      </c>
      <c r="J20" s="5" t="n">
        <f aca="false">H20-I20</f>
        <v>0</v>
      </c>
      <c r="K20" s="6" t="n">
        <f aca="false">I20/(I20+J20)</f>
        <v>1</v>
      </c>
    </row>
    <row r="21" customFormat="false" ht="15" hidden="false" customHeight="false" outlineLevel="0" collapsed="false">
      <c r="A21" s="3" t="n">
        <v>20</v>
      </c>
      <c r="B21" s="4"/>
      <c r="C21" s="4" t="s">
        <v>43</v>
      </c>
      <c r="D21" s="4" t="s">
        <v>56</v>
      </c>
      <c r="E21" s="4" t="s">
        <v>57</v>
      </c>
      <c r="F21" s="4" t="s">
        <v>15</v>
      </c>
      <c r="G21" s="4" t="s">
        <v>47</v>
      </c>
      <c r="H21" s="4" t="n">
        <v>10</v>
      </c>
      <c r="I21" s="4" t="n">
        <v>10</v>
      </c>
      <c r="J21" s="5" t="n">
        <f aca="false">H21-I21</f>
        <v>0</v>
      </c>
      <c r="K21" s="6" t="n">
        <f aca="false">I21/(I21+J21)</f>
        <v>1</v>
      </c>
    </row>
    <row r="22" customFormat="false" ht="15" hidden="false" customHeight="false" outlineLevel="0" collapsed="false">
      <c r="A22" s="3" t="n">
        <v>21</v>
      </c>
      <c r="B22" s="4"/>
      <c r="C22" s="4" t="s">
        <v>43</v>
      </c>
      <c r="D22" s="4" t="s">
        <v>58</v>
      </c>
      <c r="E22" s="4"/>
      <c r="F22" s="4" t="s">
        <v>59</v>
      </c>
      <c r="G22" s="4" t="s">
        <v>47</v>
      </c>
      <c r="H22" s="4" t="n">
        <v>10</v>
      </c>
      <c r="I22" s="4" t="n">
        <v>10</v>
      </c>
      <c r="J22" s="5" t="n">
        <f aca="false">H22-I22</f>
        <v>0</v>
      </c>
      <c r="K22" s="6" t="n">
        <f aca="false">I22/(I22+J22)</f>
        <v>1</v>
      </c>
    </row>
    <row r="23" customFormat="false" ht="15" hidden="false" customHeight="false" outlineLevel="0" collapsed="false">
      <c r="A23" s="3" t="n">
        <v>22</v>
      </c>
      <c r="B23" s="4"/>
      <c r="C23" s="4" t="s">
        <v>43</v>
      </c>
      <c r="D23" s="4" t="s">
        <v>60</v>
      </c>
      <c r="E23" s="4"/>
      <c r="F23" s="4" t="s">
        <v>59</v>
      </c>
      <c r="G23" s="4" t="s">
        <v>47</v>
      </c>
      <c r="H23" s="4" t="n">
        <v>5</v>
      </c>
      <c r="I23" s="4" t="n">
        <v>5</v>
      </c>
      <c r="J23" s="5" t="n">
        <f aca="false">H23-I23</f>
        <v>0</v>
      </c>
      <c r="K23" s="6" t="n">
        <f aca="false">I23/(I23+J23)</f>
        <v>1</v>
      </c>
    </row>
    <row r="24" customFormat="false" ht="15" hidden="false" customHeight="false" outlineLevel="0" collapsed="false">
      <c r="A24" s="3" t="n">
        <v>23</v>
      </c>
      <c r="B24" s="4"/>
      <c r="C24" s="4" t="s">
        <v>43</v>
      </c>
      <c r="D24" s="4" t="s">
        <v>61</v>
      </c>
      <c r="E24" s="4" t="s">
        <v>62</v>
      </c>
      <c r="F24" s="4" t="s">
        <v>59</v>
      </c>
      <c r="G24" s="4" t="s">
        <v>47</v>
      </c>
      <c r="H24" s="4" t="n">
        <v>5</v>
      </c>
      <c r="I24" s="4" t="n">
        <v>5</v>
      </c>
      <c r="J24" s="5" t="n">
        <f aca="false">H24-I24</f>
        <v>0</v>
      </c>
      <c r="K24" s="6" t="n">
        <f aca="false">I24/(I24+J24)</f>
        <v>1</v>
      </c>
    </row>
    <row r="25" customFormat="false" ht="15" hidden="false" customHeight="false" outlineLevel="0" collapsed="false">
      <c r="A25" s="3" t="n">
        <v>24</v>
      </c>
      <c r="B25" s="4"/>
      <c r="C25" s="4" t="s">
        <v>43</v>
      </c>
      <c r="D25" s="4" t="s">
        <v>63</v>
      </c>
      <c r="E25" s="4" t="s">
        <v>64</v>
      </c>
      <c r="F25" s="4" t="s">
        <v>52</v>
      </c>
      <c r="G25" s="4" t="s">
        <v>47</v>
      </c>
      <c r="H25" s="4" t="n">
        <v>10</v>
      </c>
      <c r="I25" s="4" t="n">
        <v>10</v>
      </c>
      <c r="J25" s="5" t="n">
        <f aca="false">H25-I25</f>
        <v>0</v>
      </c>
      <c r="K25" s="6" t="n">
        <f aca="false">I25/(I25+J25)</f>
        <v>1</v>
      </c>
    </row>
    <row r="26" customFormat="false" ht="15" hidden="false" customHeight="false" outlineLevel="0" collapsed="false">
      <c r="A26" s="3" t="n">
        <v>25</v>
      </c>
      <c r="B26" s="4"/>
      <c r="C26" s="4" t="s">
        <v>43</v>
      </c>
      <c r="D26" s="4" t="s">
        <v>65</v>
      </c>
      <c r="E26" s="4"/>
      <c r="F26" s="4" t="s">
        <v>52</v>
      </c>
      <c r="G26" s="4" t="s">
        <v>47</v>
      </c>
      <c r="H26" s="4" t="n">
        <v>10</v>
      </c>
      <c r="I26" s="4" t="n">
        <v>10</v>
      </c>
      <c r="J26" s="5" t="n">
        <f aca="false">H26-I26</f>
        <v>0</v>
      </c>
      <c r="K26" s="6" t="n">
        <f aca="false">I26/(I26+J26)</f>
        <v>1</v>
      </c>
    </row>
    <row r="27" customFormat="false" ht="15" hidden="false" customHeight="false" outlineLevel="0" collapsed="false">
      <c r="A27" s="3" t="n">
        <v>26</v>
      </c>
      <c r="B27" s="4"/>
      <c r="C27" s="4" t="s">
        <v>43</v>
      </c>
      <c r="D27" s="4" t="s">
        <v>66</v>
      </c>
      <c r="E27" s="4" t="s">
        <v>67</v>
      </c>
      <c r="F27" s="4" t="s">
        <v>52</v>
      </c>
      <c r="G27" s="4" t="s">
        <v>47</v>
      </c>
      <c r="H27" s="4" t="n">
        <v>10</v>
      </c>
      <c r="I27" s="4" t="n">
        <v>10</v>
      </c>
      <c r="J27" s="5" t="n">
        <f aca="false">H27-I27</f>
        <v>0</v>
      </c>
      <c r="K27" s="6" t="n">
        <f aca="false">I27/(I27+J27)</f>
        <v>1</v>
      </c>
    </row>
    <row r="28" customFormat="false" ht="15" hidden="false" customHeight="false" outlineLevel="0" collapsed="false">
      <c r="A28" s="3" t="n">
        <v>27</v>
      </c>
      <c r="B28" s="4"/>
      <c r="C28" s="4" t="s">
        <v>43</v>
      </c>
      <c r="D28" s="4" t="s">
        <v>68</v>
      </c>
      <c r="E28" s="4"/>
      <c r="F28" s="4" t="s">
        <v>52</v>
      </c>
      <c r="G28" s="4" t="s">
        <v>47</v>
      </c>
      <c r="H28" s="4" t="n">
        <v>5</v>
      </c>
      <c r="I28" s="4" t="n">
        <v>5</v>
      </c>
      <c r="J28" s="5" t="n">
        <f aca="false">H28-I28</f>
        <v>0</v>
      </c>
      <c r="K28" s="6" t="n">
        <f aca="false">I28/(I28+J28)</f>
        <v>1</v>
      </c>
    </row>
    <row r="29" customFormat="false" ht="15" hidden="false" customHeight="false" outlineLevel="0" collapsed="false">
      <c r="A29" s="3" t="n">
        <v>28</v>
      </c>
      <c r="B29" s="4"/>
      <c r="C29" s="4" t="s">
        <v>43</v>
      </c>
      <c r="D29" s="4" t="s">
        <v>69</v>
      </c>
      <c r="E29" s="4" t="s">
        <v>14</v>
      </c>
      <c r="F29" s="4" t="s">
        <v>15</v>
      </c>
      <c r="G29" s="4" t="s">
        <v>47</v>
      </c>
      <c r="H29" s="4" t="n">
        <v>10</v>
      </c>
      <c r="I29" s="4" t="n">
        <v>10</v>
      </c>
      <c r="J29" s="5" t="n">
        <f aca="false">H29-I29</f>
        <v>0</v>
      </c>
      <c r="K29" s="6" t="n">
        <f aca="false">I29/(I29+J29)</f>
        <v>1</v>
      </c>
    </row>
    <row r="30" customFormat="false" ht="15" hidden="false" customHeight="false" outlineLevel="0" collapsed="false">
      <c r="A30" s="3" t="n">
        <v>29</v>
      </c>
      <c r="B30" s="4"/>
      <c r="C30" s="4" t="s">
        <v>43</v>
      </c>
      <c r="D30" s="4" t="s">
        <v>70</v>
      </c>
      <c r="E30" s="4"/>
      <c r="F30" s="4" t="s">
        <v>59</v>
      </c>
      <c r="G30" s="4" t="s">
        <v>47</v>
      </c>
      <c r="H30" s="4" t="n">
        <v>10</v>
      </c>
      <c r="I30" s="4" t="n">
        <v>10</v>
      </c>
      <c r="J30" s="5" t="n">
        <f aca="false">H30-I30</f>
        <v>0</v>
      </c>
      <c r="K30" s="6" t="n">
        <f aca="false">I30/(I30+J30)</f>
        <v>1</v>
      </c>
    </row>
    <row r="31" customFormat="false" ht="15" hidden="false" customHeight="false" outlineLevel="0" collapsed="false">
      <c r="A31" s="3" t="n">
        <v>30</v>
      </c>
      <c r="B31" s="4"/>
      <c r="C31" s="4" t="s">
        <v>43</v>
      </c>
      <c r="D31" s="4" t="s">
        <v>71</v>
      </c>
      <c r="E31" s="4"/>
      <c r="F31" s="4" t="s">
        <v>59</v>
      </c>
      <c r="G31" s="4" t="s">
        <v>47</v>
      </c>
      <c r="H31" s="4" t="n">
        <v>5</v>
      </c>
      <c r="I31" s="4" t="n">
        <v>5</v>
      </c>
      <c r="J31" s="5" t="n">
        <f aca="false">H31-I31</f>
        <v>0</v>
      </c>
      <c r="K31" s="6" t="n">
        <f aca="false">I31/(I31+J31)</f>
        <v>1</v>
      </c>
    </row>
    <row r="32" customFormat="false" ht="15" hidden="false" customHeight="false" outlineLevel="0" collapsed="false">
      <c r="A32" s="3" t="n">
        <v>31</v>
      </c>
      <c r="B32" s="4"/>
      <c r="C32" s="4" t="s">
        <v>43</v>
      </c>
      <c r="D32" s="4" t="s">
        <v>72</v>
      </c>
      <c r="E32" s="4" t="s">
        <v>73</v>
      </c>
      <c r="F32" s="4" t="s">
        <v>59</v>
      </c>
      <c r="G32" s="4" t="s">
        <v>47</v>
      </c>
      <c r="H32" s="4" t="n">
        <v>10</v>
      </c>
      <c r="I32" s="4" t="n">
        <v>10</v>
      </c>
      <c r="J32" s="5" t="n">
        <f aca="false">H32-I32</f>
        <v>0</v>
      </c>
      <c r="K32" s="6" t="n">
        <f aca="false">I32/(I32+J32)</f>
        <v>1</v>
      </c>
    </row>
    <row r="33" customFormat="false" ht="15" hidden="false" customHeight="false" outlineLevel="0" collapsed="false">
      <c r="A33" s="3" t="n">
        <v>32</v>
      </c>
      <c r="B33" s="4"/>
      <c r="C33" s="4" t="s">
        <v>43</v>
      </c>
      <c r="D33" s="4" t="s">
        <v>74</v>
      </c>
      <c r="E33" s="4"/>
      <c r="F33" s="4" t="s">
        <v>15</v>
      </c>
      <c r="G33" s="4" t="s">
        <v>47</v>
      </c>
      <c r="H33" s="4" t="n">
        <v>5</v>
      </c>
      <c r="I33" s="4" t="n">
        <v>5</v>
      </c>
      <c r="J33" s="5" t="n">
        <f aca="false">H33-I33</f>
        <v>0</v>
      </c>
      <c r="K33" s="6" t="n">
        <f aca="false">I33/(I33+J33)</f>
        <v>1</v>
      </c>
    </row>
    <row r="34" customFormat="false" ht="15" hidden="false" customHeight="false" outlineLevel="0" collapsed="false">
      <c r="A34" s="3" t="n">
        <v>33</v>
      </c>
      <c r="B34" s="4"/>
      <c r="C34" s="4" t="s">
        <v>43</v>
      </c>
      <c r="D34" s="4" t="s">
        <v>75</v>
      </c>
      <c r="E34" s="4" t="s">
        <v>76</v>
      </c>
      <c r="F34" s="4" t="s">
        <v>15</v>
      </c>
      <c r="G34" s="4" t="s">
        <v>47</v>
      </c>
      <c r="H34" s="4" t="n">
        <v>10</v>
      </c>
      <c r="I34" s="4" t="n">
        <v>10</v>
      </c>
      <c r="J34" s="5" t="n">
        <f aca="false">H34-I34</f>
        <v>0</v>
      </c>
      <c r="K34" s="6" t="n">
        <f aca="false">I34/(I34+J34)</f>
        <v>1</v>
      </c>
    </row>
    <row r="35" customFormat="false" ht="15" hidden="false" customHeight="false" outlineLevel="0" collapsed="false">
      <c r="A35" s="3" t="n">
        <v>34</v>
      </c>
      <c r="B35" s="4"/>
      <c r="C35" s="4" t="s">
        <v>43</v>
      </c>
      <c r="D35" s="4" t="s">
        <v>77</v>
      </c>
      <c r="E35" s="4"/>
      <c r="F35" s="4" t="s">
        <v>59</v>
      </c>
      <c r="G35" s="4" t="s">
        <v>47</v>
      </c>
      <c r="H35" s="4" t="n">
        <v>5</v>
      </c>
      <c r="I35" s="4" t="n">
        <v>5</v>
      </c>
      <c r="J35" s="5" t="n">
        <f aca="false">H35-I35</f>
        <v>0</v>
      </c>
      <c r="K35" s="6" t="n">
        <f aca="false">I35/(I35+J35)</f>
        <v>1</v>
      </c>
    </row>
    <row r="36" customFormat="false" ht="15" hidden="false" customHeight="false" outlineLevel="0" collapsed="false">
      <c r="A36" s="3" t="n">
        <v>35</v>
      </c>
      <c r="B36" s="4"/>
      <c r="C36" s="4" t="s">
        <v>43</v>
      </c>
      <c r="D36" s="4" t="s">
        <v>78</v>
      </c>
      <c r="E36" s="4"/>
      <c r="F36" s="4" t="s">
        <v>59</v>
      </c>
      <c r="G36" s="4" t="s">
        <v>47</v>
      </c>
      <c r="H36" s="4" t="n">
        <v>5</v>
      </c>
      <c r="I36" s="4" t="n">
        <v>5</v>
      </c>
      <c r="J36" s="5" t="n">
        <f aca="false">H36-I36</f>
        <v>0</v>
      </c>
      <c r="K36" s="6" t="n">
        <f aca="false">I36/(I36+J36)</f>
        <v>1</v>
      </c>
    </row>
    <row r="37" customFormat="false" ht="15" hidden="false" customHeight="false" outlineLevel="0" collapsed="false">
      <c r="A37" s="3" t="n">
        <v>36</v>
      </c>
      <c r="B37" s="4"/>
      <c r="C37" s="4" t="s">
        <v>43</v>
      </c>
      <c r="D37" s="4" t="s">
        <v>79</v>
      </c>
      <c r="E37" s="4" t="s">
        <v>80</v>
      </c>
      <c r="F37" s="4" t="s">
        <v>15</v>
      </c>
      <c r="G37" s="4" t="s">
        <v>47</v>
      </c>
      <c r="H37" s="4" t="n">
        <v>5</v>
      </c>
      <c r="I37" s="4" t="n">
        <v>5</v>
      </c>
      <c r="J37" s="5" t="n">
        <f aca="false">H37-I37</f>
        <v>0</v>
      </c>
      <c r="K37" s="6" t="n">
        <f aca="false">I37/(I37+J37)</f>
        <v>1</v>
      </c>
    </row>
    <row r="38" customFormat="false" ht="15" hidden="false" customHeight="false" outlineLevel="0" collapsed="false">
      <c r="A38" s="3" t="n">
        <v>37</v>
      </c>
      <c r="B38" s="4"/>
      <c r="C38" s="4" t="s">
        <v>43</v>
      </c>
      <c r="D38" s="4" t="s">
        <v>81</v>
      </c>
      <c r="E38" s="4"/>
      <c r="F38" s="4" t="s">
        <v>59</v>
      </c>
      <c r="G38" s="4" t="s">
        <v>47</v>
      </c>
      <c r="H38" s="4" t="n">
        <v>5</v>
      </c>
      <c r="I38" s="4" t="n">
        <v>5</v>
      </c>
      <c r="J38" s="5" t="n">
        <f aca="false">H38-I38</f>
        <v>0</v>
      </c>
      <c r="K38" s="6" t="n">
        <f aca="false">I38/(I38+J38)</f>
        <v>1</v>
      </c>
    </row>
    <row r="39" customFormat="false" ht="15" hidden="false" customHeight="false" outlineLevel="0" collapsed="false">
      <c r="A39" s="3" t="n">
        <v>38</v>
      </c>
      <c r="B39" s="4"/>
      <c r="C39" s="4" t="s">
        <v>43</v>
      </c>
      <c r="D39" s="4" t="s">
        <v>82</v>
      </c>
      <c r="E39" s="4"/>
      <c r="F39" s="4" t="s">
        <v>59</v>
      </c>
      <c r="G39" s="4" t="s">
        <v>47</v>
      </c>
      <c r="H39" s="4" t="n">
        <v>5</v>
      </c>
      <c r="I39" s="4" t="n">
        <v>5</v>
      </c>
      <c r="J39" s="5" t="n">
        <f aca="false">H39-I39</f>
        <v>0</v>
      </c>
      <c r="K39" s="6" t="n">
        <f aca="false">I39/(I39+J39)</f>
        <v>1</v>
      </c>
    </row>
    <row r="40" customFormat="false" ht="15" hidden="false" customHeight="false" outlineLevel="0" collapsed="false">
      <c r="A40" s="3" t="n">
        <v>39</v>
      </c>
      <c r="B40" s="4"/>
      <c r="C40" s="4" t="s">
        <v>43</v>
      </c>
      <c r="D40" s="4" t="s">
        <v>77</v>
      </c>
      <c r="E40" s="4"/>
      <c r="F40" s="4" t="s">
        <v>59</v>
      </c>
      <c r="G40" s="4" t="s">
        <v>47</v>
      </c>
      <c r="H40" s="4" t="n">
        <v>15</v>
      </c>
      <c r="I40" s="4" t="n">
        <v>15</v>
      </c>
      <c r="J40" s="5" t="n">
        <f aca="false">H40-I40</f>
        <v>0</v>
      </c>
      <c r="K40" s="6" t="n">
        <f aca="false">I40/(I40+J40)</f>
        <v>1</v>
      </c>
    </row>
    <row r="41" customFormat="false" ht="15" hidden="false" customHeight="false" outlineLevel="0" collapsed="false">
      <c r="A41" s="3" t="n">
        <v>40</v>
      </c>
      <c r="B41" s="4"/>
      <c r="C41" s="4" t="s">
        <v>43</v>
      </c>
      <c r="D41" s="4" t="s">
        <v>83</v>
      </c>
      <c r="E41" s="4" t="s">
        <v>84</v>
      </c>
      <c r="F41" s="4" t="s">
        <v>52</v>
      </c>
      <c r="G41" s="4" t="s">
        <v>47</v>
      </c>
      <c r="H41" s="4" t="n">
        <v>10</v>
      </c>
      <c r="I41" s="4" t="n">
        <v>10</v>
      </c>
      <c r="J41" s="5" t="n">
        <f aca="false">H41-I41</f>
        <v>0</v>
      </c>
      <c r="K41" s="6" t="n">
        <f aca="false">I41/(I41+J41)</f>
        <v>1</v>
      </c>
    </row>
    <row r="42" customFormat="false" ht="15" hidden="false" customHeight="false" outlineLevel="0" collapsed="false">
      <c r="A42" s="3" t="n">
        <v>41</v>
      </c>
      <c r="B42" s="4"/>
      <c r="C42" s="4" t="s">
        <v>43</v>
      </c>
      <c r="D42" s="4" t="s">
        <v>85</v>
      </c>
      <c r="E42" s="4" t="s">
        <v>86</v>
      </c>
      <c r="F42" s="4" t="s">
        <v>59</v>
      </c>
      <c r="G42" s="4" t="s">
        <v>47</v>
      </c>
      <c r="H42" s="4" t="n">
        <v>10</v>
      </c>
      <c r="I42" s="4" t="n">
        <v>10</v>
      </c>
      <c r="J42" s="5" t="n">
        <f aca="false">H42-I42</f>
        <v>0</v>
      </c>
      <c r="K42" s="6" t="n">
        <f aca="false">I42/(I42+J42)</f>
        <v>1</v>
      </c>
    </row>
    <row r="43" customFormat="false" ht="15" hidden="false" customHeight="false" outlineLevel="0" collapsed="false">
      <c r="A43" s="3" t="n">
        <v>42</v>
      </c>
      <c r="B43" s="4"/>
      <c r="C43" s="4" t="s">
        <v>43</v>
      </c>
      <c r="D43" s="4" t="s">
        <v>87</v>
      </c>
      <c r="E43" s="4"/>
      <c r="F43" s="4" t="s">
        <v>15</v>
      </c>
      <c r="G43" s="4" t="s">
        <v>47</v>
      </c>
      <c r="H43" s="4" t="n">
        <v>10</v>
      </c>
      <c r="I43" s="4" t="n">
        <v>10</v>
      </c>
      <c r="J43" s="5" t="n">
        <f aca="false">H43-I43</f>
        <v>0</v>
      </c>
      <c r="K43" s="6" t="n">
        <f aca="false">I43/(I43+J43)</f>
        <v>1</v>
      </c>
    </row>
    <row r="44" customFormat="false" ht="15" hidden="false" customHeight="false" outlineLevel="0" collapsed="false">
      <c r="A44" s="3" t="n">
        <v>43</v>
      </c>
      <c r="B44" s="4"/>
      <c r="C44" s="4" t="s">
        <v>43</v>
      </c>
      <c r="D44" s="4" t="s">
        <v>75</v>
      </c>
      <c r="E44" s="4" t="s">
        <v>88</v>
      </c>
      <c r="F44" s="4" t="s">
        <v>15</v>
      </c>
      <c r="G44" s="4" t="s">
        <v>47</v>
      </c>
      <c r="H44" s="4" t="n">
        <v>10</v>
      </c>
      <c r="I44" s="4" t="n">
        <v>10</v>
      </c>
      <c r="J44" s="5" t="n">
        <f aca="false">H44-I44</f>
        <v>0</v>
      </c>
      <c r="K44" s="6" t="n">
        <f aca="false">I44/(I44+J44)</f>
        <v>1</v>
      </c>
    </row>
    <row r="45" customFormat="false" ht="15" hidden="false" customHeight="false" outlineLevel="0" collapsed="false">
      <c r="A45" s="3" t="n">
        <v>44</v>
      </c>
      <c r="B45" s="4"/>
      <c r="C45" s="4" t="s">
        <v>43</v>
      </c>
      <c r="D45" s="4" t="s">
        <v>89</v>
      </c>
      <c r="E45" s="4"/>
      <c r="F45" s="4" t="s">
        <v>59</v>
      </c>
      <c r="G45" s="4" t="s">
        <v>47</v>
      </c>
      <c r="H45" s="4" t="n">
        <v>5</v>
      </c>
      <c r="I45" s="4" t="n">
        <v>5</v>
      </c>
      <c r="J45" s="5" t="n">
        <f aca="false">H45-I45</f>
        <v>0</v>
      </c>
      <c r="K45" s="6" t="n">
        <f aca="false">I45/(I45+J45)</f>
        <v>1</v>
      </c>
    </row>
    <row r="46" customFormat="false" ht="15" hidden="false" customHeight="false" outlineLevel="0" collapsed="false">
      <c r="A46" s="3" t="n">
        <v>45</v>
      </c>
      <c r="B46" s="4"/>
      <c r="C46" s="4" t="s">
        <v>43</v>
      </c>
      <c r="D46" s="4" t="s">
        <v>90</v>
      </c>
      <c r="E46" s="4" t="s">
        <v>91</v>
      </c>
      <c r="F46" s="4" t="s">
        <v>15</v>
      </c>
      <c r="G46" s="4" t="s">
        <v>47</v>
      </c>
      <c r="H46" s="4" t="n">
        <v>5</v>
      </c>
      <c r="I46" s="4" t="n">
        <v>5</v>
      </c>
      <c r="J46" s="5" t="n">
        <f aca="false">H46-I46</f>
        <v>0</v>
      </c>
      <c r="K46" s="6" t="n">
        <f aca="false">I46/(I46+J46)</f>
        <v>1</v>
      </c>
    </row>
    <row r="47" customFormat="false" ht="15" hidden="false" customHeight="false" outlineLevel="0" collapsed="false">
      <c r="A47" s="3" t="n">
        <v>46</v>
      </c>
      <c r="B47" s="4"/>
      <c r="C47" s="4" t="s">
        <v>43</v>
      </c>
      <c r="D47" s="4" t="s">
        <v>81</v>
      </c>
      <c r="E47" s="4"/>
      <c r="F47" s="4" t="s">
        <v>59</v>
      </c>
      <c r="G47" s="4" t="s">
        <v>47</v>
      </c>
      <c r="H47" s="4" t="n">
        <v>5</v>
      </c>
      <c r="I47" s="4" t="n">
        <v>5</v>
      </c>
      <c r="J47" s="5" t="n">
        <f aca="false">H47-I47</f>
        <v>0</v>
      </c>
      <c r="K47" s="6" t="n">
        <f aca="false">I47/(I47+J47)</f>
        <v>1</v>
      </c>
    </row>
    <row r="48" customFormat="false" ht="15" hidden="false" customHeight="false" outlineLevel="0" collapsed="false">
      <c r="A48" s="3" t="n">
        <v>47</v>
      </c>
      <c r="B48" s="4"/>
      <c r="C48" s="4" t="s">
        <v>43</v>
      </c>
      <c r="D48" s="4" t="s">
        <v>92</v>
      </c>
      <c r="E48" s="4"/>
      <c r="F48" s="4" t="s">
        <v>59</v>
      </c>
      <c r="G48" s="4" t="s">
        <v>47</v>
      </c>
      <c r="H48" s="4" t="n">
        <v>5</v>
      </c>
      <c r="I48" s="4" t="n">
        <v>5</v>
      </c>
      <c r="J48" s="5" t="n">
        <f aca="false">H48-I48</f>
        <v>0</v>
      </c>
      <c r="K48" s="6" t="n">
        <f aca="false">I48/(I48+J48)</f>
        <v>1</v>
      </c>
    </row>
    <row r="49" customFormat="false" ht="15" hidden="false" customHeight="false" outlineLevel="0" collapsed="false">
      <c r="A49" s="3" t="n">
        <v>48</v>
      </c>
      <c r="B49" s="4"/>
      <c r="C49" s="4" t="s">
        <v>43</v>
      </c>
      <c r="D49" s="4" t="s">
        <v>93</v>
      </c>
      <c r="E49" s="4" t="s">
        <v>94</v>
      </c>
      <c r="F49" s="4" t="s">
        <v>95</v>
      </c>
      <c r="G49" s="4" t="s">
        <v>47</v>
      </c>
      <c r="H49" s="4" t="n">
        <v>10</v>
      </c>
      <c r="I49" s="4" t="n">
        <v>10</v>
      </c>
      <c r="J49" s="5" t="n">
        <f aca="false">H49-I49</f>
        <v>0</v>
      </c>
      <c r="K49" s="6" t="n">
        <f aca="false">I49/(I49+J49)</f>
        <v>1</v>
      </c>
    </row>
    <row r="50" customFormat="false" ht="15" hidden="false" customHeight="false" outlineLevel="0" collapsed="false">
      <c r="A50" s="3" t="n">
        <v>49</v>
      </c>
      <c r="B50" s="4"/>
      <c r="C50" s="4" t="s">
        <v>43</v>
      </c>
      <c r="D50" s="4" t="s">
        <v>96</v>
      </c>
      <c r="E50" s="4"/>
      <c r="F50" s="4" t="s">
        <v>95</v>
      </c>
      <c r="G50" s="4" t="s">
        <v>47</v>
      </c>
      <c r="H50" s="4" t="n">
        <v>10</v>
      </c>
      <c r="I50" s="4" t="n">
        <v>10</v>
      </c>
      <c r="J50" s="5" t="n">
        <f aca="false">H50-I50</f>
        <v>0</v>
      </c>
      <c r="K50" s="6" t="n">
        <f aca="false">I50/(I50+J50)</f>
        <v>1</v>
      </c>
    </row>
    <row r="51" customFormat="false" ht="15" hidden="false" customHeight="false" outlineLevel="0" collapsed="false">
      <c r="A51" s="3" t="n">
        <v>50</v>
      </c>
      <c r="B51" s="4"/>
      <c r="C51" s="4" t="s">
        <v>43</v>
      </c>
      <c r="D51" s="4" t="s">
        <v>97</v>
      </c>
      <c r="E51" s="4" t="s">
        <v>98</v>
      </c>
      <c r="F51" s="4" t="s">
        <v>52</v>
      </c>
      <c r="G51" s="4" t="s">
        <v>16</v>
      </c>
      <c r="H51" s="4" t="n">
        <v>5</v>
      </c>
      <c r="I51" s="4" t="n">
        <v>5</v>
      </c>
      <c r="J51" s="5" t="n">
        <f aca="false">H51-I51</f>
        <v>0</v>
      </c>
      <c r="K51" s="6" t="n">
        <f aca="false">I51/(I51+J51)</f>
        <v>1</v>
      </c>
    </row>
    <row r="52" customFormat="false" ht="15" hidden="false" customHeight="false" outlineLevel="0" collapsed="false">
      <c r="A52" s="3" t="n">
        <v>51</v>
      </c>
      <c r="B52" s="4"/>
      <c r="C52" s="4" t="s">
        <v>43</v>
      </c>
      <c r="D52" s="4" t="s">
        <v>99</v>
      </c>
      <c r="E52" s="4"/>
      <c r="F52" s="4" t="s">
        <v>52</v>
      </c>
      <c r="G52" s="4" t="s">
        <v>16</v>
      </c>
      <c r="H52" s="4" t="n">
        <v>5</v>
      </c>
      <c r="I52" s="4" t="n">
        <v>5</v>
      </c>
      <c r="J52" s="5" t="n">
        <f aca="false">H52-I52</f>
        <v>0</v>
      </c>
      <c r="K52" s="6" t="n">
        <f aca="false">I52/(I52+J52)</f>
        <v>1</v>
      </c>
    </row>
    <row r="53" customFormat="false" ht="15" hidden="false" customHeight="false" outlineLevel="0" collapsed="false">
      <c r="A53" s="3" t="n">
        <v>52</v>
      </c>
      <c r="B53" s="4"/>
      <c r="C53" s="4" t="s">
        <v>43</v>
      </c>
      <c r="D53" s="4" t="s">
        <v>100</v>
      </c>
      <c r="E53" s="4"/>
      <c r="F53" s="4" t="s">
        <v>52</v>
      </c>
      <c r="G53" s="4" t="s">
        <v>16</v>
      </c>
      <c r="H53" s="4" t="n">
        <v>5</v>
      </c>
      <c r="I53" s="4" t="n">
        <v>5</v>
      </c>
      <c r="J53" s="5" t="n">
        <f aca="false">H53-I53</f>
        <v>0</v>
      </c>
      <c r="K53" s="6" t="n">
        <f aca="false">I53/(I53+J53)</f>
        <v>1</v>
      </c>
    </row>
    <row r="54" customFormat="false" ht="15" hidden="false" customHeight="false" outlineLevel="0" collapsed="false">
      <c r="A54" s="3" t="n">
        <v>53</v>
      </c>
      <c r="B54" s="4"/>
      <c r="C54" s="4" t="s">
        <v>43</v>
      </c>
      <c r="D54" s="4" t="s">
        <v>101</v>
      </c>
      <c r="E54" s="4"/>
      <c r="F54" s="4" t="s">
        <v>52</v>
      </c>
      <c r="G54" s="4" t="s">
        <v>16</v>
      </c>
      <c r="H54" s="4" t="n">
        <v>5</v>
      </c>
      <c r="I54" s="4" t="n">
        <v>5</v>
      </c>
      <c r="J54" s="5" t="n">
        <f aca="false">H54-I54</f>
        <v>0</v>
      </c>
      <c r="K54" s="6" t="n">
        <f aca="false">I54/(I54+J54)</f>
        <v>1</v>
      </c>
    </row>
    <row r="55" customFormat="false" ht="15" hidden="false" customHeight="false" outlineLevel="0" collapsed="false">
      <c r="A55" s="3" t="n">
        <v>54</v>
      </c>
      <c r="B55" s="4"/>
      <c r="C55" s="4" t="s">
        <v>43</v>
      </c>
      <c r="D55" s="4" t="s">
        <v>102</v>
      </c>
      <c r="E55" s="4" t="s">
        <v>103</v>
      </c>
      <c r="F55" s="4" t="s">
        <v>52</v>
      </c>
      <c r="G55" s="4" t="s">
        <v>16</v>
      </c>
      <c r="H55" s="4" t="n">
        <v>5</v>
      </c>
      <c r="I55" s="4" t="n">
        <v>5</v>
      </c>
      <c r="J55" s="5" t="n">
        <f aca="false">H55-I55</f>
        <v>0</v>
      </c>
      <c r="K55" s="6" t="n">
        <f aca="false">I55/(I55+J55)</f>
        <v>1</v>
      </c>
    </row>
    <row r="56" customFormat="false" ht="15" hidden="false" customHeight="false" outlineLevel="0" collapsed="false">
      <c r="A56" s="3" t="n">
        <v>55</v>
      </c>
      <c r="B56" s="4"/>
      <c r="C56" s="4" t="s">
        <v>43</v>
      </c>
      <c r="D56" s="4" t="s">
        <v>104</v>
      </c>
      <c r="E56" s="4" t="s">
        <v>105</v>
      </c>
      <c r="F56" s="4" t="s">
        <v>95</v>
      </c>
      <c r="G56" s="4" t="s">
        <v>16</v>
      </c>
      <c r="H56" s="4" t="n">
        <v>15</v>
      </c>
      <c r="I56" s="4" t="n">
        <v>15</v>
      </c>
      <c r="J56" s="5" t="n">
        <f aca="false">H56-I56</f>
        <v>0</v>
      </c>
      <c r="K56" s="6" t="n">
        <f aca="false">I56/(I56+J56)</f>
        <v>1</v>
      </c>
    </row>
    <row r="57" customFormat="false" ht="15" hidden="false" customHeight="false" outlineLevel="0" collapsed="false">
      <c r="A57" s="3" t="n">
        <v>56</v>
      </c>
      <c r="B57" s="4"/>
      <c r="C57" s="4" t="s">
        <v>43</v>
      </c>
      <c r="D57" s="4" t="s">
        <v>41</v>
      </c>
      <c r="E57" s="4"/>
      <c r="F57" s="4" t="s">
        <v>95</v>
      </c>
      <c r="G57" s="4" t="s">
        <v>47</v>
      </c>
      <c r="H57" s="4" t="n">
        <v>10</v>
      </c>
      <c r="I57" s="4" t="n">
        <v>10</v>
      </c>
      <c r="J57" s="5" t="n">
        <f aca="false">H57-I57</f>
        <v>0</v>
      </c>
      <c r="K57" s="6" t="n">
        <f aca="false">I57/(I57+J57)</f>
        <v>1</v>
      </c>
    </row>
    <row r="58" customFormat="false" ht="15.75" hidden="false" customHeight="true" outlineLevel="0" collapsed="false">
      <c r="A58" s="0"/>
      <c r="B58" s="0"/>
      <c r="C58" s="0"/>
      <c r="D58" s="0"/>
      <c r="E58" s="0"/>
      <c r="F58" s="0"/>
      <c r="K58" s="7"/>
    </row>
    <row r="59" customFormat="false" ht="15.75" hidden="false" customHeight="true" outlineLevel="0" collapsed="false">
      <c r="A59" s="0"/>
      <c r="B59" s="0"/>
      <c r="C59" s="0"/>
      <c r="D59" s="0"/>
      <c r="E59" s="0"/>
      <c r="F59" s="0"/>
      <c r="K59" s="7"/>
    </row>
    <row r="60" customFormat="false" ht="15.75" hidden="false" customHeight="true" outlineLevel="0" collapsed="false">
      <c r="A60" s="0"/>
      <c r="B60" s="0"/>
      <c r="C60" s="0"/>
      <c r="D60" s="0"/>
      <c r="E60" s="0"/>
      <c r="F60" s="0"/>
      <c r="K60" s="7"/>
    </row>
    <row r="61" customFormat="false" ht="15.75" hidden="false" customHeight="true" outlineLevel="0" collapsed="false">
      <c r="A61" s="0"/>
      <c r="B61" s="0"/>
      <c r="C61" s="0"/>
      <c r="D61" s="0"/>
      <c r="E61" s="0"/>
      <c r="F61" s="0"/>
      <c r="K61" s="7"/>
    </row>
    <row r="62" customFormat="false" ht="15.75" hidden="false" customHeight="true" outlineLevel="0" collapsed="false">
      <c r="A62" s="0"/>
      <c r="B62" s="0"/>
      <c r="C62" s="0"/>
      <c r="D62" s="0"/>
      <c r="E62" s="0"/>
      <c r="F62" s="0"/>
      <c r="K62" s="7"/>
    </row>
    <row r="63" customFormat="false" ht="15.75" hidden="false" customHeight="true" outlineLevel="0" collapsed="false">
      <c r="A63" s="0"/>
      <c r="B63" s="0"/>
      <c r="C63" s="0"/>
      <c r="D63" s="0"/>
      <c r="E63" s="0"/>
      <c r="F63" s="0"/>
      <c r="K63" s="7"/>
    </row>
    <row r="64" customFormat="false" ht="15.75" hidden="false" customHeight="true" outlineLevel="0" collapsed="false">
      <c r="A64" s="0"/>
      <c r="B64" s="0"/>
      <c r="C64" s="0"/>
      <c r="D64" s="0"/>
      <c r="E64" s="0"/>
      <c r="F64" s="0"/>
      <c r="K64" s="7"/>
    </row>
    <row r="65" customFormat="false" ht="15.75" hidden="false" customHeight="true" outlineLevel="0" collapsed="false">
      <c r="A65" s="0"/>
      <c r="B65" s="0"/>
      <c r="C65" s="0"/>
      <c r="D65" s="0"/>
      <c r="E65" s="0"/>
      <c r="F65" s="0"/>
      <c r="K65" s="7"/>
    </row>
    <row r="66" customFormat="false" ht="15.75" hidden="false" customHeight="true" outlineLevel="0" collapsed="false">
      <c r="A66" s="0"/>
      <c r="B66" s="0"/>
      <c r="C66" s="0"/>
      <c r="D66" s="0"/>
      <c r="E66" s="0"/>
      <c r="F66" s="0"/>
      <c r="K66" s="7"/>
    </row>
    <row r="67" customFormat="false" ht="15.75" hidden="false" customHeight="true" outlineLevel="0" collapsed="false">
      <c r="A67" s="0"/>
      <c r="B67" s="0"/>
      <c r="C67" s="0"/>
      <c r="D67" s="0"/>
      <c r="E67" s="0"/>
      <c r="F67" s="0"/>
      <c r="K67" s="7"/>
    </row>
    <row r="68" customFormat="false" ht="15.75" hidden="false" customHeight="true" outlineLevel="0" collapsed="false">
      <c r="A68" s="0"/>
      <c r="B68" s="0"/>
      <c r="C68" s="0"/>
      <c r="D68" s="0"/>
      <c r="E68" s="0"/>
      <c r="F68" s="0"/>
      <c r="K68" s="7"/>
    </row>
    <row r="69" customFormat="false" ht="15.75" hidden="false" customHeight="true" outlineLevel="0" collapsed="false">
      <c r="A69" s="0"/>
      <c r="B69" s="0"/>
      <c r="C69" s="0"/>
      <c r="D69" s="0"/>
      <c r="E69" s="0"/>
      <c r="F69" s="0"/>
      <c r="K69" s="7"/>
    </row>
    <row r="70" customFormat="false" ht="15.75" hidden="false" customHeight="true" outlineLevel="0" collapsed="false">
      <c r="A70" s="0"/>
      <c r="B70" s="0"/>
      <c r="C70" s="0"/>
      <c r="D70" s="0"/>
      <c r="E70" s="0"/>
      <c r="F70" s="0"/>
      <c r="K70" s="7"/>
    </row>
    <row r="71" customFormat="false" ht="15.75" hidden="false" customHeight="true" outlineLevel="0" collapsed="false">
      <c r="A71" s="0"/>
      <c r="K71" s="7"/>
    </row>
    <row r="72" customFormat="false" ht="15.75" hidden="false" customHeight="true" outlineLevel="0" collapsed="false">
      <c r="K72" s="7"/>
    </row>
    <row r="73" customFormat="false" ht="15.75" hidden="false" customHeight="true" outlineLevel="0" collapsed="false">
      <c r="K73" s="7"/>
    </row>
    <row r="74" customFormat="false" ht="15.75" hidden="false" customHeight="true" outlineLevel="0" collapsed="false">
      <c r="K74" s="7"/>
    </row>
    <row r="75" customFormat="false" ht="15.75" hidden="false" customHeight="true" outlineLevel="0" collapsed="false">
      <c r="K75" s="7"/>
    </row>
    <row r="76" customFormat="false" ht="15.75" hidden="false" customHeight="true" outlineLevel="0" collapsed="false">
      <c r="K76" s="7"/>
    </row>
    <row r="77" customFormat="false" ht="15.75" hidden="false" customHeight="true" outlineLevel="0" collapsed="false">
      <c r="K77" s="7"/>
    </row>
    <row r="78" customFormat="false" ht="15.75" hidden="false" customHeight="true" outlineLevel="0" collapsed="false">
      <c r="K78" s="7"/>
    </row>
    <row r="79" customFormat="false" ht="15.75" hidden="false" customHeight="true" outlineLevel="0" collapsed="false">
      <c r="K79" s="7"/>
    </row>
    <row r="80" customFormat="false" ht="15.75" hidden="false" customHeight="true" outlineLevel="0" collapsed="false">
      <c r="K80" s="7"/>
    </row>
    <row r="81" customFormat="false" ht="15.75" hidden="false" customHeight="true" outlineLevel="0" collapsed="false">
      <c r="K81" s="7"/>
    </row>
    <row r="82" customFormat="false" ht="15.75" hidden="false" customHeight="true" outlineLevel="0" collapsed="false">
      <c r="K82" s="7"/>
    </row>
    <row r="83" customFormat="false" ht="15.75" hidden="false" customHeight="true" outlineLevel="0" collapsed="false">
      <c r="K83" s="7"/>
    </row>
    <row r="84" customFormat="false" ht="15.75" hidden="false" customHeight="true" outlineLevel="0" collapsed="false">
      <c r="K84" s="7"/>
    </row>
    <row r="85" customFormat="false" ht="15.75" hidden="false" customHeight="true" outlineLevel="0" collapsed="false">
      <c r="K85" s="7"/>
    </row>
    <row r="86" customFormat="false" ht="15.75" hidden="false" customHeight="true" outlineLevel="0" collapsed="false">
      <c r="K86" s="7"/>
    </row>
    <row r="87" customFormat="false" ht="15.75" hidden="false" customHeight="true" outlineLevel="0" collapsed="false">
      <c r="K87" s="7"/>
    </row>
    <row r="88" customFormat="false" ht="15.75" hidden="false" customHeight="true" outlineLevel="0" collapsed="false">
      <c r="K88" s="7"/>
    </row>
    <row r="89" customFormat="false" ht="15.75" hidden="false" customHeight="true" outlineLevel="0" collapsed="false">
      <c r="K89" s="7"/>
    </row>
    <row r="90" customFormat="false" ht="15.75" hidden="false" customHeight="true" outlineLevel="0" collapsed="false">
      <c r="K90" s="7"/>
    </row>
    <row r="91" customFormat="false" ht="15.75" hidden="false" customHeight="true" outlineLevel="0" collapsed="false">
      <c r="K91" s="7"/>
    </row>
    <row r="92" customFormat="false" ht="15.75" hidden="false" customHeight="true" outlineLevel="0" collapsed="false">
      <c r="K92" s="7"/>
    </row>
    <row r="93" customFormat="false" ht="15.75" hidden="false" customHeight="true" outlineLevel="0" collapsed="false">
      <c r="K93" s="7"/>
    </row>
    <row r="94" customFormat="false" ht="15.75" hidden="false" customHeight="true" outlineLevel="0" collapsed="false">
      <c r="K94" s="7"/>
    </row>
    <row r="95" customFormat="false" ht="15.75" hidden="false" customHeight="true" outlineLevel="0" collapsed="false">
      <c r="K95" s="7"/>
    </row>
    <row r="96" customFormat="false" ht="15.75" hidden="false" customHeight="true" outlineLevel="0" collapsed="false">
      <c r="K96" s="7"/>
    </row>
    <row r="97" customFormat="false" ht="15.75" hidden="false" customHeight="true" outlineLevel="0" collapsed="false">
      <c r="K97" s="7"/>
    </row>
    <row r="98" customFormat="false" ht="15.75" hidden="false" customHeight="true" outlineLevel="0" collapsed="false">
      <c r="K98" s="7"/>
    </row>
    <row r="99" customFormat="false" ht="15.75" hidden="false" customHeight="true" outlineLevel="0" collapsed="false">
      <c r="K99" s="7"/>
    </row>
    <row r="100" customFormat="false" ht="15.75" hidden="false" customHeight="true" outlineLevel="0" collapsed="false">
      <c r="K100" s="7"/>
    </row>
    <row r="101" customFormat="false" ht="15.75" hidden="false" customHeight="true" outlineLevel="0" collapsed="false">
      <c r="K101" s="7"/>
    </row>
    <row r="102" customFormat="false" ht="15.75" hidden="false" customHeight="true" outlineLevel="0" collapsed="false">
      <c r="K102" s="7"/>
    </row>
    <row r="103" customFormat="false" ht="15.75" hidden="false" customHeight="true" outlineLevel="0" collapsed="false">
      <c r="K103" s="7"/>
    </row>
    <row r="104" customFormat="false" ht="15.75" hidden="false" customHeight="true" outlineLevel="0" collapsed="false">
      <c r="K104" s="7"/>
    </row>
    <row r="105" customFormat="false" ht="15.75" hidden="false" customHeight="true" outlineLevel="0" collapsed="false">
      <c r="K105" s="7"/>
    </row>
    <row r="106" customFormat="false" ht="15.75" hidden="false" customHeight="true" outlineLevel="0" collapsed="false">
      <c r="K106" s="7"/>
    </row>
    <row r="107" customFormat="false" ht="15.75" hidden="false" customHeight="true" outlineLevel="0" collapsed="false">
      <c r="K107" s="7"/>
    </row>
    <row r="108" customFormat="false" ht="15.75" hidden="false" customHeight="true" outlineLevel="0" collapsed="false">
      <c r="K108" s="7"/>
    </row>
    <row r="109" customFormat="false" ht="15.75" hidden="false" customHeight="true" outlineLevel="0" collapsed="false">
      <c r="K109" s="7"/>
    </row>
    <row r="110" customFormat="false" ht="15.75" hidden="false" customHeight="true" outlineLevel="0" collapsed="false">
      <c r="K110" s="7"/>
    </row>
    <row r="111" customFormat="false" ht="15.75" hidden="false" customHeight="true" outlineLevel="0" collapsed="false">
      <c r="K111" s="7"/>
    </row>
    <row r="112" customFormat="false" ht="15.75" hidden="false" customHeight="true" outlineLevel="0" collapsed="false">
      <c r="K112" s="7"/>
    </row>
    <row r="113" customFormat="false" ht="15.75" hidden="false" customHeight="true" outlineLevel="0" collapsed="false">
      <c r="K113" s="7"/>
    </row>
    <row r="114" customFormat="false" ht="15.75" hidden="false" customHeight="true" outlineLevel="0" collapsed="false">
      <c r="K114" s="7"/>
    </row>
    <row r="115" customFormat="false" ht="15.75" hidden="false" customHeight="true" outlineLevel="0" collapsed="false">
      <c r="K115" s="7"/>
    </row>
    <row r="116" customFormat="false" ht="15.75" hidden="false" customHeight="true" outlineLevel="0" collapsed="false">
      <c r="K116" s="7"/>
    </row>
    <row r="117" customFormat="false" ht="15.75" hidden="false" customHeight="true" outlineLevel="0" collapsed="false">
      <c r="K117" s="7"/>
    </row>
    <row r="118" customFormat="false" ht="15.75" hidden="false" customHeight="true" outlineLevel="0" collapsed="false">
      <c r="K118" s="7"/>
    </row>
    <row r="119" customFormat="false" ht="15.75" hidden="false" customHeight="true" outlineLevel="0" collapsed="false">
      <c r="K119" s="7"/>
    </row>
    <row r="120" customFormat="false" ht="15.75" hidden="false" customHeight="true" outlineLevel="0" collapsed="false">
      <c r="K120" s="7"/>
    </row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92"/>
  </cols>
  <sheetData>
    <row r="1" customFormat="false" ht="12.8" hidden="false" customHeight="false" outlineLevel="0" collapsed="false">
      <c r="A1" s="8" t="s">
        <v>6</v>
      </c>
      <c r="B1" s="9" t="s">
        <v>106</v>
      </c>
    </row>
    <row r="2" customFormat="false" ht="12.8" hidden="false" customHeight="false" outlineLevel="0" collapsed="false">
      <c r="A2" s="10" t="s">
        <v>47</v>
      </c>
      <c r="B2" s="11" t="n">
        <v>310</v>
      </c>
    </row>
    <row r="3" customFormat="false" ht="12.8" hidden="false" customHeight="false" outlineLevel="0" collapsed="false">
      <c r="A3" s="12" t="s">
        <v>16</v>
      </c>
      <c r="B3" s="13" t="n">
        <v>290</v>
      </c>
    </row>
    <row r="4" customFormat="false" ht="12.8" hidden="false" customHeight="false" outlineLevel="0" collapsed="false">
      <c r="A4" s="14" t="s">
        <v>107</v>
      </c>
      <c r="B4" s="15" t="n">
        <v>600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2026-02-10T08:54:00Z</dcterms:created>
  <dc:creator/>
  <dc:description/>
  <dc:language>en-US</dc:language>
  <cp:lastModifiedBy/>
  <dcterms:modified xsi:type="dcterms:W3CDTF">2026-03-31T12:25:43Z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C138FFA014CC40B6B82A597F87CA1A7D_12</vt:lpwstr>
  </property>
  <property fmtid="{D5CDD505-2E9C-101B-9397-08002B2CF9AE}" pid="3" name="KSOProductBuildVer">
    <vt:lpwstr>1036-12.9.0.21549</vt:lpwstr>
  </property>
</Properties>
</file>